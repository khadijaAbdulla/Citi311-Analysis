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7.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kdjab_i0wvwor.000\OneDrive\Documents\GA - DAB\Projects\SQL &amp; Excel project\Files to be submitted\"/>
    </mc:Choice>
  </mc:AlternateContent>
  <xr:revisionPtr revIDLastSave="0" documentId="13_ncr:1_{78400ABA-6A85-4226-9047-4F174AF6CFD6}" xr6:coauthVersionLast="47" xr6:coauthVersionMax="47" xr10:uidLastSave="{00000000-0000-0000-0000-000000000000}"/>
  <bookViews>
    <workbookView xWindow="-108" yWindow="-108" windowWidth="23256" windowHeight="12576" activeTab="2" xr2:uid="{00000000-000D-0000-FFFF-FFFF00000000}"/>
  </bookViews>
  <sheets>
    <sheet name="Data Handling Summary" sheetId="1" r:id="rId1"/>
    <sheet name="Sheet2" sheetId="10" state="hidden" r:id="rId2"/>
    <sheet name="Analysis &amp; Charts" sheetId="2" r:id="rId3"/>
    <sheet name="PR2-per year-month-requesttype" sheetId="5" state="hidden" r:id="rId4"/>
    <sheet name="PR1 - per year-month-committee-" sheetId="6" state="hidden" r:id="rId5"/>
    <sheet name="Data Dictionary" sheetId="3" r:id="rId6"/>
    <sheet name="Reference" sheetId="4" r:id="rId7"/>
    <sheet name="Total number of cases in 2016-2" sheetId="8" state="hidden" r:id="rId8"/>
    <sheet name="PR3- per year for each request " sheetId="9" state="hidden" r:id="rId9"/>
  </sheets>
  <definedNames>
    <definedName name="ExternalData_1" localSheetId="4" hidden="1">'PR1 - per year-month-committee-'!$A$1:$D$15</definedName>
    <definedName name="ExternalData_1" localSheetId="3" hidden="1">'PR2-per year-month-requesttype'!$A$1:$D$289</definedName>
    <definedName name="ExternalData_1" localSheetId="8" hidden="1">'PR3- per year for each request '!$A$1:$B$25</definedName>
    <definedName name="ExternalData_1" localSheetId="6" hidden="1">Reference!$A$30:$C$32</definedName>
    <definedName name="ExternalData_1" localSheetId="7" hidden="1">'Total number of cases in 2016-2'!$A$1:$C$3</definedName>
    <definedName name="ExternalData_2" localSheetId="6" hidden="1">Reference!$A$6:$C$20</definedName>
    <definedName name="ExternalData_3" localSheetId="6" hidden="1">Reference!$A$45:$B$59</definedName>
    <definedName name="ExternalData_4" localSheetId="6" hidden="1">Reference!$A$63:$B$87</definedName>
  </definedNames>
  <calcPr calcId="191029"/>
  <pivotCaches>
    <pivotCache cacheId="0" r:id="rId10"/>
    <pivotCache cacheId="1" r:id="rId11"/>
    <pivotCache cacheId="2"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4" l="1"/>
  <c r="B3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5BFFE4-5444-4648-BC47-34317FF85B71}" keepAlive="1" name="Query - PR1 - per year-month-committee-MODIFIED" description="Connection to the 'PR1 - per year-month-committee-MODIFIED' query in the workbook." type="5" refreshedVersion="8" background="1" saveData="1">
    <dbPr connection="Provider=Microsoft.Mashup.OleDb.1;Data Source=$Workbook$;Location=&quot;PR1 - per year-month-committee-MODIFIED&quot;;Extended Properties=&quot;&quot;" command="SELECT * FROM [PR1 - per year-month-committee-MODIFIED]"/>
  </connection>
  <connection id="2" xr16:uid="{42109E88-B057-414F-A69F-72404174505D}" keepAlive="1" name="Query - PR2-per year-month-requesttype" description="Connection to the 'PR2-per year-month-requesttype' query in the workbook." type="5" refreshedVersion="8" background="1" saveData="1">
    <dbPr connection="Provider=Microsoft.Mashup.OleDb.1;Data Source=$Workbook$;Location=&quot;PR2-per year-month-requesttype&quot;;Extended Properties=&quot;&quot;" command="SELECT * FROM [PR2-per year-month-requesttype]"/>
  </connection>
  <connection id="3" xr16:uid="{674CD8B9-26CA-4BD3-A48A-5E1619989454}" keepAlive="1" name="Query - PR3- per year for each request type" description="Connection to the 'PR3- per year for each request type' query in the workbook." type="5" refreshedVersion="8" background="1" saveData="1">
    <dbPr connection="Provider=Microsoft.Mashup.OleDb.1;Data Source=$Workbook$;Location=&quot;PR3- per year for each request type&quot;;Extended Properties=&quot;&quot;" command="SELECT * FROM [PR3- per year for each request type]"/>
  </connection>
  <connection id="4" xr16:uid="{150F9FB1-307B-433B-B253-978844B8A950}" keepAlive="1" name="Query - PR3- per year for each request type (2)" description="Connection to the 'PR3- per year for each request type (2)' query in the workbook." type="5" refreshedVersion="8" background="1" saveData="1">
    <dbPr connection="Provider=Microsoft.Mashup.OleDb.1;Data Source=$Workbook$;Location=&quot;PR3- per year for each request type (2)&quot;;Extended Properties=&quot;&quot;" command="SELECT * FROM [PR3- per year for each request type (2)]"/>
  </connection>
  <connection id="5" xr16:uid="{E275347F-2398-4972-9F76-EAFB5AC90C0C}" keepAlive="1" name="Query - test" description="Connection to the 'test' query in the workbook." type="5" refreshedVersion="8" background="1" saveData="1">
    <dbPr connection="Provider=Microsoft.Mashup.OleDb.1;Data Source=$Workbook$;Location=test;Extended Properties=&quot;&quot;" command="SELECT * FROM [test]"/>
  </connection>
  <connection id="6" xr16:uid="{18F78DE9-71D6-494F-8C44-C458A49FF07A}" keepAlive="1" name="Query - test (2)" description="Connection to the 'test (2)' query in the workbook." type="5" refreshedVersion="8" background="1" saveData="1">
    <dbPr connection="Provider=Microsoft.Mashup.OleDb.1;Data Source=$Workbook$;Location=&quot;test (2)&quot;;Extended Properties=&quot;&quot;" command="SELECT * FROM [test (2)]"/>
  </connection>
  <connection id="7" xr16:uid="{C3677AE4-E84B-4A7E-8619-2718E25174D9}" keepAlive="1" name="Query - test (3)" description="Connection to the 'test (3)' query in the workbook." type="5" refreshedVersion="8" background="1" saveData="1">
    <dbPr connection="Provider=Microsoft.Mashup.OleDb.1;Data Source=$Workbook$;Location=&quot;test (3)&quot;;Extended Properties=&quot;&quot;" command="SELECT * FROM [test (3)]"/>
  </connection>
  <connection id="8" xr16:uid="{5ACCECB5-E8C2-4C4B-A159-ACBF6C67A804}" keepAlive="1" name="Query - Total number of cases in 2016-2017 and their average MTTR" description="Connection to the 'Total number of cases in 2016-2017 and their average MTTR' query in the workbook." type="5" refreshedVersion="8" background="1" saveData="1">
    <dbPr connection="Provider=Microsoft.Mashup.OleDb.1;Data Source=$Workbook$;Location=&quot;Total number of cases in 2016-2017 and their average MTTR&quot;;Extended Properties=&quot;&quot;" command="SELECT * FROM [Total number of cases in 2016-2017 and their average MTTR]"/>
  </connection>
  <connection id="9" xr16:uid="{AB73C79F-56EE-4728-81E5-BC937E40FB36}" keepAlive="1" name="Query - Total number of cases in 2016-2017 and their average MTTR (2)" description="Connection to the 'Total number of cases in 2016-2017 and their average MTTR (2)' query in the workbook." type="5" refreshedVersion="8" background="1" saveData="1">
    <dbPr connection="Provider=Microsoft.Mashup.OleDb.1;Data Source=$Workbook$;Location=&quot;Total number of cases in 2016-2017 and their average MTTR (2)&quot;;Extended Properties=&quot;&quot;" command="SELECT * FROM [Total number of cases in 2016-2017 and their average MTTR (2)]"/>
  </connection>
</connections>
</file>

<file path=xl/sharedStrings.xml><?xml version="1.0" encoding="utf-8"?>
<sst xmlns="http://schemas.openxmlformats.org/spreadsheetml/2006/main" count="590" uniqueCount="114">
  <si>
    <t xml:space="preserve">Data Analysis </t>
  </si>
  <si>
    <t>Data Dictionary</t>
  </si>
  <si>
    <t xml:space="preserve">Data Handling Summary </t>
  </si>
  <si>
    <t>Add your aggregated query results here, then build charts from your results and add them here. Add summary comments with takeaways of your findings. Include only tables and charts that were used in your presentation.</t>
  </si>
  <si>
    <t>Include name, description, and data type for each column of your dataset.</t>
  </si>
  <si>
    <t xml:space="preserve">Explain how you cleaned your data  (e.g. handled nulls, removed duplicates, reformatted columns, dropped current columns, added new columns).
</t>
  </si>
  <si>
    <t>Include anything your instructor would need to know to replicate your analysis.</t>
  </si>
  <si>
    <t xml:space="preserve">Reference </t>
  </si>
  <si>
    <t xml:space="preserve">Include tables and graphs that you explored but did not find useful. </t>
  </si>
  <si>
    <t>year</t>
  </si>
  <si>
    <t>responsibleagency</t>
  </si>
  <si>
    <t>BOS</t>
  </si>
  <si>
    <t>BSL</t>
  </si>
  <si>
    <t>BSS</t>
  </si>
  <si>
    <t>ITA</t>
  </si>
  <si>
    <t>LADWP</t>
  </si>
  <si>
    <t>OCB</t>
  </si>
  <si>
    <t>BOE</t>
  </si>
  <si>
    <t>RAP</t>
  </si>
  <si>
    <t>no_cases_per_year</t>
  </si>
  <si>
    <t>mttr  (days)</t>
  </si>
  <si>
    <t>month</t>
  </si>
  <si>
    <t>requesttype</t>
  </si>
  <si>
    <t>number_of_requests</t>
  </si>
  <si>
    <t>Bulky Items</t>
  </si>
  <si>
    <t>Dead Animal Removal</t>
  </si>
  <si>
    <t>Electronic Waste</t>
  </si>
  <si>
    <t>Feedback</t>
  </si>
  <si>
    <t>Graffiti Removal</t>
  </si>
  <si>
    <t>Homeless Encampment</t>
  </si>
  <si>
    <t>Illegal Dumping Pickup</t>
  </si>
  <si>
    <t>Metal/Household Appliances</t>
  </si>
  <si>
    <t>Multiple Streetlight Issue</t>
  </si>
  <si>
    <t>Other</t>
  </si>
  <si>
    <t>Report Water Waste</t>
  </si>
  <si>
    <t>Single Streetlight Issue</t>
  </si>
  <si>
    <t>Average of number_of_requests</t>
  </si>
  <si>
    <t>Row Labels</t>
  </si>
  <si>
    <t>Grand Total</t>
  </si>
  <si>
    <t>Column Labels</t>
  </si>
  <si>
    <t>Request type</t>
  </si>
  <si>
    <t>AVG number of requests per year</t>
  </si>
  <si>
    <t>Column Name</t>
  </si>
  <si>
    <t>Description</t>
  </si>
  <si>
    <t>request_id</t>
  </si>
  <si>
    <t>created_date</t>
  </si>
  <si>
    <t>closed_date</t>
  </si>
  <si>
    <t>status</t>
  </si>
  <si>
    <t>address</t>
  </si>
  <si>
    <t>source</t>
  </si>
  <si>
    <t>statusnotes</t>
  </si>
  <si>
    <t>mobile_source</t>
  </si>
  <si>
    <t>area_planning_committee</t>
  </si>
  <si>
    <t>council_district_member</t>
  </si>
  <si>
    <t>neighborhood_council_name</t>
  </si>
  <si>
    <t>mttr</t>
  </si>
  <si>
    <t>3 days 33:11:05.968551</t>
  </si>
  <si>
    <t>16 days 21:42:46.4402</t>
  </si>
  <si>
    <t>84 days 33:28:14.080402</t>
  </si>
  <si>
    <t>00:00:00</t>
  </si>
  <si>
    <t>3 days 09:18:56.631061</t>
  </si>
  <si>
    <t>2 days 19:08:20</t>
  </si>
  <si>
    <t>4 days 32:31:01.807347</t>
  </si>
  <si>
    <t>24 days 29:25:48.208928</t>
  </si>
  <si>
    <t>269 days 23:31:08.571429</t>
  </si>
  <si>
    <t>25:55:37.9441</t>
  </si>
  <si>
    <t>2 days 04:37:41.59499</t>
  </si>
  <si>
    <t>25 days 23:13:00</t>
  </si>
  <si>
    <t>MTTR (days)</t>
  </si>
  <si>
    <t>3 days 33:59:47.302566</t>
  </si>
  <si>
    <t>4 days 19:20:46.416868</t>
  </si>
  <si>
    <t>Total number of Closed/Reffered Out/Forward cases per year and their average time to resolve</t>
  </si>
  <si>
    <t>Total number of requests per year for each agency and their MTTR</t>
  </si>
  <si>
    <t>Q1:</t>
  </si>
  <si>
    <t>Q2:</t>
  </si>
  <si>
    <t xml:space="preserve"> percentage increase </t>
  </si>
  <si>
    <t>4 days 15:06:36.766467</t>
  </si>
  <si>
    <t>Q3:</t>
  </si>
  <si>
    <t>Average Time to resolve per Agency in 2016-2017</t>
  </si>
  <si>
    <t>Sum of MTTR (days)</t>
  </si>
  <si>
    <t>Average Time To Resolve per Agency in 2016-2017</t>
  </si>
  <si>
    <t>Average MTTR for both years 2016-2017</t>
  </si>
  <si>
    <t>Additional coumns from aggregate queries</t>
  </si>
  <si>
    <t>Unique identifier of a Service Request (SR) in the open data set</t>
  </si>
  <si>
    <r>
      <t>Date in format</t>
    </r>
    <r>
      <rPr>
        <sz val="10"/>
        <color rgb="FFFF0000"/>
        <rFont val="Arial"/>
        <family val="2"/>
      </rPr>
      <t xml:space="preserve"> </t>
    </r>
    <r>
      <rPr>
        <sz val="10"/>
        <rFont val="Arial"/>
        <family val="2"/>
      </rPr>
      <t>MM/DD/YY HH:MM:SS AM/PM</t>
    </r>
  </si>
  <si>
    <t xml:space="preserve">Status of SR submitted </t>
  </si>
  <si>
    <t>Additional notes about submitted requests</t>
  </si>
  <si>
    <t>data type</t>
  </si>
  <si>
    <t>text</t>
  </si>
  <si>
    <t>date</t>
  </si>
  <si>
    <t>This is the fist level of a hierarchy identifying the topic of the incident or condition. Complaint Type may have a corresponding Descriptor (below) or may stand alone.</t>
  </si>
  <si>
    <t>Full Agency name of responding City Government Agency</t>
  </si>
  <si>
    <t xml:space="preserve">Indicates how the SR was submitted to 311.  i.e. By Phone, Online, Mobile, Other or Unknown. </t>
  </si>
  <si>
    <t>mobile system i.e. Android, iOS</t>
  </si>
  <si>
    <t>House number of incident address provided by submitter.</t>
  </si>
  <si>
    <t>name of the area planning community</t>
  </si>
  <si>
    <t>name of responsible council district member</t>
  </si>
  <si>
    <t xml:space="preserve">Neighboor council name </t>
  </si>
  <si>
    <t>police_precinct</t>
  </si>
  <si>
    <t>Police precinct name</t>
  </si>
  <si>
    <t>Mean Time To response in days (assuming than less than 1 day is 0)</t>
  </si>
  <si>
    <t>interval</t>
  </si>
  <si>
    <t>Q1</t>
  </si>
  <si>
    <t xml:space="preserve">Excluded rows from both years that are missing lots of data such as 
 address, area planning committee, council district .. etc
 </t>
  </si>
  <si>
    <t>Excluded open/cancelled tickets cause they are not needed for the first question (Q1)</t>
  </si>
  <si>
    <t>Excluded neighborhood_council_ids (0,44,24) because the ids are not unique.</t>
  </si>
  <si>
    <t>Q2</t>
  </si>
  <si>
    <t>Added an MTTR column for each agency wich was counted in days (MTTR less than one day was represneted as 0 days)</t>
  </si>
  <si>
    <t>For All questions:</t>
  </si>
  <si>
    <t>Excluded cancelled tickets cause they are not needed for the second question (Q2)</t>
  </si>
  <si>
    <t>Q3</t>
  </si>
  <si>
    <t>Excluded cancelled/open/pending tickets cause they are not needed for the second question (Q3)</t>
  </si>
  <si>
    <t>dropped the following columns as they were not needed in the analysis communityboardid, cross_street, landmark, locationtype, facilitytype, addresstype, vehicletype, agency_code, latitude, longitude</t>
  </si>
  <si>
    <t xml:space="preserve">Replace numbered id columns with their respective names from reference tables i.e. replaced neighborhood_council_ids with their names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</si>
</sst>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ont>
    <font>
      <b/>
      <sz val="10"/>
      <color theme="1"/>
      <name val="Arial"/>
      <family val="2"/>
    </font>
    <font>
      <sz val="10"/>
      <name val="Arial"/>
      <family val="2"/>
    </font>
    <font>
      <sz val="10"/>
      <color rgb="FF000000"/>
      <name val="Arial"/>
      <family val="2"/>
    </font>
    <font>
      <sz val="10"/>
      <color theme="1"/>
      <name val="Arial"/>
      <family val="2"/>
    </font>
    <font>
      <b/>
      <sz val="16"/>
      <color rgb="FF000000"/>
      <name val="Arial"/>
      <family val="2"/>
    </font>
    <font>
      <b/>
      <sz val="20"/>
      <color rgb="FF000000"/>
      <name val="Arial"/>
      <family val="2"/>
    </font>
    <font>
      <sz val="14"/>
      <color rgb="FF595959"/>
      <name val="Arial"/>
      <family val="2"/>
    </font>
    <font>
      <sz val="10"/>
      <color rgb="FF000000"/>
      <name val="Arial"/>
      <family val="2"/>
    </font>
    <font>
      <b/>
      <sz val="10"/>
      <color theme="0"/>
      <name val="Arial"/>
      <family val="2"/>
    </font>
    <font>
      <b/>
      <sz val="11"/>
      <color theme="1"/>
      <name val="Arial"/>
      <family val="2"/>
    </font>
    <font>
      <b/>
      <sz val="10"/>
      <color rgb="FF000000"/>
      <name val="Arial"/>
      <family val="2"/>
    </font>
    <font>
      <sz val="10"/>
      <color rgb="FFFF0000"/>
      <name val="Arial"/>
      <family val="2"/>
    </font>
  </fonts>
  <fills count="8">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3" tint="0.79998168889431442"/>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8" fillId="0" borderId="0" applyFont="0" applyFill="0" applyBorder="0" applyAlignment="0" applyProtection="0"/>
  </cellStyleXfs>
  <cellXfs count="30">
    <xf numFmtId="0" fontId="0" fillId="0" borderId="0" xfId="0"/>
    <xf numFmtId="0" fontId="1" fillId="0" borderId="0" xfId="0" applyFont="1"/>
    <xf numFmtId="0" fontId="2" fillId="0" borderId="0" xfId="0" applyFont="1"/>
    <xf numFmtId="0" fontId="3" fillId="2" borderId="0" xfId="0" applyFont="1" applyFill="1" applyAlignment="1">
      <alignment horizontal="left"/>
    </xf>
    <xf numFmtId="0" fontId="4" fillId="0" borderId="0" xfId="0" applyFont="1"/>
    <xf numFmtId="0" fontId="1" fillId="3" borderId="0" xfId="0" applyFont="1" applyFill="1"/>
    <xf numFmtId="0" fontId="0" fillId="3" borderId="0" xfId="0" applyFill="1"/>
    <xf numFmtId="0" fontId="2" fillId="3" borderId="0" xfId="0" applyFont="1" applyFill="1"/>
    <xf numFmtId="0" fontId="3" fillId="0" borderId="0" xfId="0" applyFont="1"/>
    <xf numFmtId="0" fontId="3" fillId="3" borderId="0" xfId="0" applyFont="1" applyFill="1"/>
    <xf numFmtId="0" fontId="5" fillId="3" borderId="0" xfId="0" applyFont="1" applyFill="1"/>
    <xf numFmtId="0" fontId="6" fillId="3" borderId="0" xfId="0" applyFont="1" applyFill="1" applyAlignment="1">
      <alignment horizontal="left"/>
    </xf>
    <xf numFmtId="0" fontId="4" fillId="3" borderId="0" xfId="0" applyFont="1" applyFill="1"/>
    <xf numFmtId="0" fontId="0" fillId="3" borderId="0" xfId="0" applyFill="1" applyAlignment="1">
      <alignment wrapText="1"/>
    </xf>
    <xf numFmtId="0" fontId="7" fillId="0" borderId="0" xfId="0" applyFont="1" applyAlignment="1">
      <alignment horizontal="center" vertical="center" readingOrder="1"/>
    </xf>
    <xf numFmtId="0" fontId="0" fillId="0" borderId="0" xfId="0" pivotButton="1"/>
    <xf numFmtId="0" fontId="0" fillId="0" borderId="0" xfId="0" applyAlignment="1">
      <alignment horizontal="left"/>
    </xf>
    <xf numFmtId="3" fontId="0" fillId="0" borderId="0" xfId="0" applyNumberFormat="1"/>
    <xf numFmtId="0" fontId="10" fillId="6" borderId="1" xfId="0" applyFont="1" applyFill="1" applyBorder="1" applyAlignment="1">
      <alignment vertical="center" wrapText="1"/>
    </xf>
    <xf numFmtId="0" fontId="10" fillId="7" borderId="1" xfId="0" applyFont="1" applyFill="1" applyBorder="1" applyAlignment="1">
      <alignment vertical="center" wrapText="1"/>
    </xf>
    <xf numFmtId="0" fontId="1" fillId="0" borderId="1" xfId="0" applyFont="1" applyBorder="1" applyAlignment="1">
      <alignment vertical="top" wrapText="1"/>
    </xf>
    <xf numFmtId="9" fontId="0" fillId="3" borderId="0" xfId="1" applyFont="1" applyFill="1"/>
    <xf numFmtId="0" fontId="11" fillId="3" borderId="0" xfId="0" applyFont="1" applyFill="1"/>
    <xf numFmtId="0" fontId="9" fillId="4" borderId="1" xfId="0" applyFont="1" applyFill="1" applyBorder="1"/>
    <xf numFmtId="0" fontId="4" fillId="5" borderId="1" xfId="0" applyFont="1" applyFill="1" applyBorder="1"/>
    <xf numFmtId="0" fontId="4" fillId="0" borderId="1" xfId="0" applyFont="1" applyBorder="1" applyAlignment="1">
      <alignment vertical="top" wrapText="1"/>
    </xf>
    <xf numFmtId="0" fontId="4" fillId="0" borderId="2" xfId="0" applyFont="1" applyBorder="1" applyAlignment="1">
      <alignment vertical="top" wrapText="1"/>
    </xf>
    <xf numFmtId="0" fontId="3" fillId="0" borderId="0" xfId="0" applyFont="1" applyAlignment="1">
      <alignment wrapText="1"/>
    </xf>
    <xf numFmtId="0" fontId="11" fillId="0" borderId="0" xfId="0" applyFont="1"/>
    <xf numFmtId="0" fontId="6" fillId="3" borderId="0" xfId="0" applyFont="1" applyFill="1" applyAlignment="1">
      <alignment horizontal="left"/>
    </xf>
  </cellXfs>
  <cellStyles count="2">
    <cellStyle name="Normal" xfId="0" builtinId="0"/>
    <cellStyle name="Percent" xfId="1" builtinId="5"/>
  </cellStyles>
  <dxfs count="25">
    <dxf>
      <numFmt numFmtId="0" formatCode="General"/>
    </dxf>
    <dxf>
      <numFmt numFmtId="0" formatCode="General"/>
    </dxf>
    <dxf>
      <numFmt numFmtId="0" formatCode="Genera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solid">
          <fgColor indexed="64"/>
          <bgColor theme="0"/>
        </patternFill>
      </fill>
    </dxf>
    <dxf>
      <numFmt numFmtId="0" formatCode="General"/>
    </dxf>
    <dxf>
      <fill>
        <patternFill patternType="solid">
          <fgColor indexed="64"/>
          <bgColor theme="0"/>
        </patternFill>
      </fill>
    </dxf>
    <dxf>
      <fill>
        <patternFill patternType="solid">
          <fgColor indexed="64"/>
          <bgColor theme="0"/>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numFmt numFmtId="0" formatCode="General"/>
      <fill>
        <patternFill patternType="none">
          <fgColor indexed="64"/>
          <bgColor indexed="65"/>
        </patternFill>
      </fill>
    </dxf>
    <dxf>
      <numFmt numFmtId="0" formatCode="General"/>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dxf>
    <dxf>
      <numFmt numFmtId="0" formatCode="General"/>
    </dxf>
    <dxf>
      <numFmt numFmtId="0" formatCode="General"/>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[KhadijaAbdullaAlHay_Citi311_Project_Workbook_Template.xlsx]Sheet2!PivotTable4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2016</c:v>
                </c:pt>
              </c:strCache>
            </c:strRef>
          </c:tx>
          <c:spPr>
            <a:solidFill>
              <a:schemeClr val="accent1"/>
            </a:solidFill>
            <a:ln>
              <a:noFill/>
            </a:ln>
            <a:effectLst/>
          </c:spPr>
          <c:invertIfNegative val="0"/>
          <c:cat>
            <c:strRef>
              <c:f>Sheet2!$A$5:$A$13</c:f>
              <c:strCache>
                <c:ptCount val="8"/>
                <c:pt idx="0">
                  <c:v>BOE</c:v>
                </c:pt>
                <c:pt idx="1">
                  <c:v>BOS</c:v>
                </c:pt>
                <c:pt idx="2">
                  <c:v>BSL</c:v>
                </c:pt>
                <c:pt idx="3">
                  <c:v>BSS</c:v>
                </c:pt>
                <c:pt idx="4">
                  <c:v>ITA</c:v>
                </c:pt>
                <c:pt idx="5">
                  <c:v>LADWP</c:v>
                </c:pt>
                <c:pt idx="6">
                  <c:v>OCB</c:v>
                </c:pt>
                <c:pt idx="7">
                  <c:v>RAP</c:v>
                </c:pt>
              </c:strCache>
            </c:strRef>
          </c:cat>
          <c:val>
            <c:numRef>
              <c:f>Sheet2!$B$5:$B$13</c:f>
              <c:numCache>
                <c:formatCode>General</c:formatCode>
                <c:ptCount val="8"/>
                <c:pt idx="1">
                  <c:v>3</c:v>
                </c:pt>
                <c:pt idx="2">
                  <c:v>16</c:v>
                </c:pt>
                <c:pt idx="3">
                  <c:v>84</c:v>
                </c:pt>
                <c:pt idx="4">
                  <c:v>0</c:v>
                </c:pt>
                <c:pt idx="5">
                  <c:v>0</c:v>
                </c:pt>
                <c:pt idx="6">
                  <c:v>3</c:v>
                </c:pt>
              </c:numCache>
            </c:numRef>
          </c:val>
          <c:extLst>
            <c:ext xmlns:c16="http://schemas.microsoft.com/office/drawing/2014/chart" uri="{C3380CC4-5D6E-409C-BE32-E72D297353CC}">
              <c16:uniqueId val="{00000000-29C0-4EC3-BAD4-5AA1AFFCADD4}"/>
            </c:ext>
          </c:extLst>
        </c:ser>
        <c:ser>
          <c:idx val="1"/>
          <c:order val="1"/>
          <c:tx>
            <c:strRef>
              <c:f>Sheet2!$C$3:$C$4</c:f>
              <c:strCache>
                <c:ptCount val="1"/>
                <c:pt idx="0">
                  <c:v>2017</c:v>
                </c:pt>
              </c:strCache>
            </c:strRef>
          </c:tx>
          <c:spPr>
            <a:solidFill>
              <a:schemeClr val="accent2"/>
            </a:solidFill>
            <a:ln>
              <a:noFill/>
            </a:ln>
            <a:effectLst/>
          </c:spPr>
          <c:invertIfNegative val="0"/>
          <c:cat>
            <c:strRef>
              <c:f>Sheet2!$A$5:$A$13</c:f>
              <c:strCache>
                <c:ptCount val="8"/>
                <c:pt idx="0">
                  <c:v>BOE</c:v>
                </c:pt>
                <c:pt idx="1">
                  <c:v>BOS</c:v>
                </c:pt>
                <c:pt idx="2">
                  <c:v>BSL</c:v>
                </c:pt>
                <c:pt idx="3">
                  <c:v>BSS</c:v>
                </c:pt>
                <c:pt idx="4">
                  <c:v>ITA</c:v>
                </c:pt>
                <c:pt idx="5">
                  <c:v>LADWP</c:v>
                </c:pt>
                <c:pt idx="6">
                  <c:v>OCB</c:v>
                </c:pt>
                <c:pt idx="7">
                  <c:v>RAP</c:v>
                </c:pt>
              </c:strCache>
            </c:strRef>
          </c:cat>
          <c:val>
            <c:numRef>
              <c:f>Sheet2!$C$5:$C$13</c:f>
              <c:numCache>
                <c:formatCode>General</c:formatCode>
                <c:ptCount val="8"/>
                <c:pt idx="0">
                  <c:v>2</c:v>
                </c:pt>
                <c:pt idx="1">
                  <c:v>4</c:v>
                </c:pt>
                <c:pt idx="2">
                  <c:v>24</c:v>
                </c:pt>
                <c:pt idx="3">
                  <c:v>269</c:v>
                </c:pt>
                <c:pt idx="4">
                  <c:v>0</c:v>
                </c:pt>
                <c:pt idx="5">
                  <c:v>0</c:v>
                </c:pt>
                <c:pt idx="6">
                  <c:v>2</c:v>
                </c:pt>
                <c:pt idx="7">
                  <c:v>25</c:v>
                </c:pt>
              </c:numCache>
            </c:numRef>
          </c:val>
          <c:extLst>
            <c:ext xmlns:c16="http://schemas.microsoft.com/office/drawing/2014/chart" uri="{C3380CC4-5D6E-409C-BE32-E72D297353CC}">
              <c16:uniqueId val="{00000001-29C0-4EC3-BAD4-5AA1AFFCADD4}"/>
            </c:ext>
          </c:extLst>
        </c:ser>
        <c:dLbls>
          <c:showLegendKey val="0"/>
          <c:showVal val="0"/>
          <c:showCatName val="0"/>
          <c:showSerName val="0"/>
          <c:showPercent val="0"/>
          <c:showBubbleSize val="0"/>
        </c:dLbls>
        <c:gapWidth val="219"/>
        <c:overlap val="-27"/>
        <c:axId val="1957339455"/>
        <c:axId val="1957339935"/>
      </c:barChart>
      <c:catAx>
        <c:axId val="195733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339935"/>
        <c:crosses val="autoZero"/>
        <c:auto val="1"/>
        <c:lblAlgn val="ctr"/>
        <c:lblOffset val="100"/>
        <c:noMultiLvlLbl val="0"/>
      </c:catAx>
      <c:valAx>
        <c:axId val="195733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33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[KhadijaAbdullaAlHay_Citi311_Project_Workbook_Template.xlsx]Analysis &amp; Charts!PivotTable6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Charts'!$B$8:$B$9</c:f>
              <c:strCache>
                <c:ptCount val="1"/>
                <c:pt idx="0">
                  <c:v>2016</c:v>
                </c:pt>
              </c:strCache>
            </c:strRef>
          </c:tx>
          <c:spPr>
            <a:solidFill>
              <a:schemeClr val="accent1"/>
            </a:solidFill>
            <a:ln>
              <a:noFill/>
            </a:ln>
            <a:effectLst/>
          </c:spPr>
          <c:invertIfNegative val="0"/>
          <c:cat>
            <c:strRef>
              <c:f>'Analysis &amp; Charts'!$A$10:$A$18</c:f>
              <c:strCache>
                <c:ptCount val="8"/>
                <c:pt idx="0">
                  <c:v>BSS</c:v>
                </c:pt>
                <c:pt idx="1">
                  <c:v>BSL</c:v>
                </c:pt>
                <c:pt idx="2">
                  <c:v>BOS</c:v>
                </c:pt>
                <c:pt idx="3">
                  <c:v>OCB</c:v>
                </c:pt>
                <c:pt idx="4">
                  <c:v>LADWP</c:v>
                </c:pt>
                <c:pt idx="5">
                  <c:v>RAP</c:v>
                </c:pt>
                <c:pt idx="6">
                  <c:v>BOE</c:v>
                </c:pt>
                <c:pt idx="7">
                  <c:v>ITA</c:v>
                </c:pt>
              </c:strCache>
            </c:strRef>
          </c:cat>
          <c:val>
            <c:numRef>
              <c:f>'Analysis &amp; Charts'!$B$10:$B$18</c:f>
              <c:numCache>
                <c:formatCode>General</c:formatCode>
                <c:ptCount val="8"/>
                <c:pt idx="0">
                  <c:v>84</c:v>
                </c:pt>
                <c:pt idx="1">
                  <c:v>16</c:v>
                </c:pt>
                <c:pt idx="2">
                  <c:v>3</c:v>
                </c:pt>
                <c:pt idx="3">
                  <c:v>3</c:v>
                </c:pt>
                <c:pt idx="4">
                  <c:v>0</c:v>
                </c:pt>
                <c:pt idx="7">
                  <c:v>0</c:v>
                </c:pt>
              </c:numCache>
            </c:numRef>
          </c:val>
          <c:extLst>
            <c:ext xmlns:c16="http://schemas.microsoft.com/office/drawing/2014/chart" uri="{C3380CC4-5D6E-409C-BE32-E72D297353CC}">
              <c16:uniqueId val="{00000000-92B6-449B-892B-B3C316D53FAD}"/>
            </c:ext>
          </c:extLst>
        </c:ser>
        <c:ser>
          <c:idx val="1"/>
          <c:order val="1"/>
          <c:tx>
            <c:strRef>
              <c:f>'Analysis &amp; Charts'!$C$8:$C$9</c:f>
              <c:strCache>
                <c:ptCount val="1"/>
                <c:pt idx="0">
                  <c:v>2017</c:v>
                </c:pt>
              </c:strCache>
            </c:strRef>
          </c:tx>
          <c:spPr>
            <a:solidFill>
              <a:schemeClr val="accent2"/>
            </a:solidFill>
            <a:ln>
              <a:noFill/>
            </a:ln>
            <a:effectLst/>
          </c:spPr>
          <c:invertIfNegative val="0"/>
          <c:cat>
            <c:strRef>
              <c:f>'Analysis &amp; Charts'!$A$10:$A$18</c:f>
              <c:strCache>
                <c:ptCount val="8"/>
                <c:pt idx="0">
                  <c:v>BSS</c:v>
                </c:pt>
                <c:pt idx="1">
                  <c:v>BSL</c:v>
                </c:pt>
                <c:pt idx="2">
                  <c:v>BOS</c:v>
                </c:pt>
                <c:pt idx="3">
                  <c:v>OCB</c:v>
                </c:pt>
                <c:pt idx="4">
                  <c:v>LADWP</c:v>
                </c:pt>
                <c:pt idx="5">
                  <c:v>RAP</c:v>
                </c:pt>
                <c:pt idx="6">
                  <c:v>BOE</c:v>
                </c:pt>
                <c:pt idx="7">
                  <c:v>ITA</c:v>
                </c:pt>
              </c:strCache>
            </c:strRef>
          </c:cat>
          <c:val>
            <c:numRef>
              <c:f>'Analysis &amp; Charts'!$C$10:$C$18</c:f>
              <c:numCache>
                <c:formatCode>General</c:formatCode>
                <c:ptCount val="8"/>
                <c:pt idx="0">
                  <c:v>269</c:v>
                </c:pt>
                <c:pt idx="1">
                  <c:v>24</c:v>
                </c:pt>
                <c:pt idx="2">
                  <c:v>4</c:v>
                </c:pt>
                <c:pt idx="3">
                  <c:v>2</c:v>
                </c:pt>
                <c:pt idx="4">
                  <c:v>0</c:v>
                </c:pt>
                <c:pt idx="5">
                  <c:v>25</c:v>
                </c:pt>
                <c:pt idx="6">
                  <c:v>2</c:v>
                </c:pt>
                <c:pt idx="7">
                  <c:v>0</c:v>
                </c:pt>
              </c:numCache>
            </c:numRef>
          </c:val>
          <c:extLst>
            <c:ext xmlns:c16="http://schemas.microsoft.com/office/drawing/2014/chart" uri="{C3380CC4-5D6E-409C-BE32-E72D297353CC}">
              <c16:uniqueId val="{00000001-92B6-449B-892B-B3C316D53FAD}"/>
            </c:ext>
          </c:extLst>
        </c:ser>
        <c:dLbls>
          <c:showLegendKey val="0"/>
          <c:showVal val="0"/>
          <c:showCatName val="0"/>
          <c:showSerName val="0"/>
          <c:showPercent val="0"/>
          <c:showBubbleSize val="0"/>
        </c:dLbls>
        <c:gapWidth val="219"/>
        <c:overlap val="-27"/>
        <c:axId val="1963277983"/>
        <c:axId val="1963278463"/>
      </c:barChart>
      <c:catAx>
        <c:axId val="1963277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Responsible</a:t>
                </a:r>
                <a:r>
                  <a:rPr lang="en-US"/>
                  <a:t> Agency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278463"/>
        <c:crosses val="autoZero"/>
        <c:auto val="1"/>
        <c:lblAlgn val="ctr"/>
        <c:lblOffset val="100"/>
        <c:noMultiLvlLbl val="0"/>
      </c:catAx>
      <c:valAx>
        <c:axId val="1963278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MTTR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27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[KhadijaAbdullaAlHay_Citi311_Project_Workbook_Template.xlsx]Analysis &amp; Charts!PivotTable7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MTTR</a:t>
            </a:r>
            <a:r>
              <a:rPr lang="en-US" baseline="0"/>
              <a:t> for each request type 2016-2017</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Charts'!$B$58:$B$59</c:f>
              <c:strCache>
                <c:ptCount val="1"/>
                <c:pt idx="0">
                  <c:v>2016</c:v>
                </c:pt>
              </c:strCache>
            </c:strRef>
          </c:tx>
          <c:spPr>
            <a:solidFill>
              <a:schemeClr val="accent1"/>
            </a:solidFill>
            <a:ln>
              <a:noFill/>
            </a:ln>
            <a:effectLst/>
          </c:spPr>
          <c:invertIfNegative val="0"/>
          <c:cat>
            <c:strRef>
              <c:f>'Analysis &amp; Charts'!$A$60:$A$72</c:f>
              <c:strCache>
                <c:ptCount val="12"/>
                <c:pt idx="0">
                  <c:v>Feedback</c:v>
                </c:pt>
                <c:pt idx="1">
                  <c:v>Multiple Streetlight Issue</c:v>
                </c:pt>
                <c:pt idx="2">
                  <c:v>Homeless Encampment</c:v>
                </c:pt>
                <c:pt idx="3">
                  <c:v>Single Streetlight Issue</c:v>
                </c:pt>
                <c:pt idx="4">
                  <c:v>Other</c:v>
                </c:pt>
                <c:pt idx="5">
                  <c:v>Illegal Dumping Pickup</c:v>
                </c:pt>
                <c:pt idx="6">
                  <c:v>Bulky Items</c:v>
                </c:pt>
                <c:pt idx="7">
                  <c:v>Metal/Household Appliances</c:v>
                </c:pt>
                <c:pt idx="8">
                  <c:v>Electronic Waste</c:v>
                </c:pt>
                <c:pt idx="9">
                  <c:v>Graffiti Removal</c:v>
                </c:pt>
                <c:pt idx="10">
                  <c:v>Dead Animal Removal</c:v>
                </c:pt>
                <c:pt idx="11">
                  <c:v>Report Water Waste</c:v>
                </c:pt>
              </c:strCache>
            </c:strRef>
          </c:cat>
          <c:val>
            <c:numRef>
              <c:f>'Analysis &amp; Charts'!$B$60:$B$72</c:f>
              <c:numCache>
                <c:formatCode>General</c:formatCode>
                <c:ptCount val="12"/>
                <c:pt idx="0">
                  <c:v>107</c:v>
                </c:pt>
                <c:pt idx="1">
                  <c:v>30</c:v>
                </c:pt>
                <c:pt idx="2">
                  <c:v>33</c:v>
                </c:pt>
                <c:pt idx="3">
                  <c:v>11</c:v>
                </c:pt>
                <c:pt idx="4">
                  <c:v>14</c:v>
                </c:pt>
                <c:pt idx="5">
                  <c:v>6</c:v>
                </c:pt>
                <c:pt idx="6">
                  <c:v>3</c:v>
                </c:pt>
                <c:pt idx="7">
                  <c:v>3</c:v>
                </c:pt>
                <c:pt idx="8">
                  <c:v>3</c:v>
                </c:pt>
                <c:pt idx="9">
                  <c:v>3</c:v>
                </c:pt>
                <c:pt idx="10">
                  <c:v>0</c:v>
                </c:pt>
                <c:pt idx="11">
                  <c:v>0</c:v>
                </c:pt>
              </c:numCache>
            </c:numRef>
          </c:val>
          <c:extLst>
            <c:ext xmlns:c16="http://schemas.microsoft.com/office/drawing/2014/chart" uri="{C3380CC4-5D6E-409C-BE32-E72D297353CC}">
              <c16:uniqueId val="{00000000-4F85-4071-916C-9F0A9402ECCE}"/>
            </c:ext>
          </c:extLst>
        </c:ser>
        <c:ser>
          <c:idx val="1"/>
          <c:order val="1"/>
          <c:tx>
            <c:strRef>
              <c:f>'Analysis &amp; Charts'!$C$58:$C$59</c:f>
              <c:strCache>
                <c:ptCount val="1"/>
                <c:pt idx="0">
                  <c:v>2017</c:v>
                </c:pt>
              </c:strCache>
            </c:strRef>
          </c:tx>
          <c:spPr>
            <a:solidFill>
              <a:schemeClr val="accent2"/>
            </a:solidFill>
            <a:ln>
              <a:noFill/>
            </a:ln>
            <a:effectLst/>
          </c:spPr>
          <c:invertIfNegative val="0"/>
          <c:cat>
            <c:strRef>
              <c:f>'Analysis &amp; Charts'!$A$60:$A$72</c:f>
              <c:strCache>
                <c:ptCount val="12"/>
                <c:pt idx="0">
                  <c:v>Feedback</c:v>
                </c:pt>
                <c:pt idx="1">
                  <c:v>Multiple Streetlight Issue</c:v>
                </c:pt>
                <c:pt idx="2">
                  <c:v>Homeless Encampment</c:v>
                </c:pt>
                <c:pt idx="3">
                  <c:v>Single Streetlight Issue</c:v>
                </c:pt>
                <c:pt idx="4">
                  <c:v>Other</c:v>
                </c:pt>
                <c:pt idx="5">
                  <c:v>Illegal Dumping Pickup</c:v>
                </c:pt>
                <c:pt idx="6">
                  <c:v>Bulky Items</c:v>
                </c:pt>
                <c:pt idx="7">
                  <c:v>Metal/Household Appliances</c:v>
                </c:pt>
                <c:pt idx="8">
                  <c:v>Electronic Waste</c:v>
                </c:pt>
                <c:pt idx="9">
                  <c:v>Graffiti Removal</c:v>
                </c:pt>
                <c:pt idx="10">
                  <c:v>Dead Animal Removal</c:v>
                </c:pt>
                <c:pt idx="11">
                  <c:v>Report Water Waste</c:v>
                </c:pt>
              </c:strCache>
            </c:strRef>
          </c:cat>
          <c:val>
            <c:numRef>
              <c:f>'Analysis &amp; Charts'!$C$60:$C$72</c:f>
              <c:numCache>
                <c:formatCode>General</c:formatCode>
                <c:ptCount val="12"/>
                <c:pt idx="0">
                  <c:v>100</c:v>
                </c:pt>
                <c:pt idx="1">
                  <c:v>49</c:v>
                </c:pt>
                <c:pt idx="2">
                  <c:v>46</c:v>
                </c:pt>
                <c:pt idx="3">
                  <c:v>13</c:v>
                </c:pt>
                <c:pt idx="4">
                  <c:v>3</c:v>
                </c:pt>
                <c:pt idx="5">
                  <c:v>7</c:v>
                </c:pt>
                <c:pt idx="6">
                  <c:v>3</c:v>
                </c:pt>
                <c:pt idx="7">
                  <c:v>3</c:v>
                </c:pt>
                <c:pt idx="8">
                  <c:v>2</c:v>
                </c:pt>
                <c:pt idx="9">
                  <c:v>2</c:v>
                </c:pt>
                <c:pt idx="10">
                  <c:v>0</c:v>
                </c:pt>
                <c:pt idx="11">
                  <c:v>0</c:v>
                </c:pt>
              </c:numCache>
            </c:numRef>
          </c:val>
          <c:extLst>
            <c:ext xmlns:c16="http://schemas.microsoft.com/office/drawing/2014/chart" uri="{C3380CC4-5D6E-409C-BE32-E72D297353CC}">
              <c16:uniqueId val="{00000001-4F85-4071-916C-9F0A9402ECCE}"/>
            </c:ext>
          </c:extLst>
        </c:ser>
        <c:dLbls>
          <c:showLegendKey val="0"/>
          <c:showVal val="0"/>
          <c:showCatName val="0"/>
          <c:showSerName val="0"/>
          <c:showPercent val="0"/>
          <c:showBubbleSize val="0"/>
        </c:dLbls>
        <c:gapWidth val="219"/>
        <c:overlap val="-27"/>
        <c:axId val="2100325407"/>
        <c:axId val="950829184"/>
      </c:barChart>
      <c:catAx>
        <c:axId val="2100325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Request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829184"/>
        <c:crosses val="autoZero"/>
        <c:auto val="1"/>
        <c:lblAlgn val="ctr"/>
        <c:lblOffset val="100"/>
        <c:noMultiLvlLbl val="0"/>
      </c:catAx>
      <c:valAx>
        <c:axId val="950829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MTTR</a:t>
                </a:r>
                <a:r>
                  <a:rPr lang="en-US" baseline="0"/>
                  <a:t> (days)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2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[KhadijaAbdullaAlHay_Citi311_Project_Workbook_Template.xlsx]Analysis &amp; Charts!PivotTable3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Average</a:t>
            </a:r>
            <a:r>
              <a:rPr lang="en-US" baseline="0"/>
              <a:t> Number of requests for each type 2016-2017</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pivotFmt>
      <c:pivotFmt>
        <c:idx val="4"/>
        <c:spPr>
          <a:solidFill>
            <a:schemeClr val="accent2"/>
          </a:solidFill>
          <a:ln>
            <a:noFill/>
          </a:ln>
          <a:effectLst/>
        </c:spPr>
      </c:pivotFmt>
      <c:pivotFmt>
        <c:idx val="5"/>
        <c:spPr>
          <a:solidFill>
            <a:schemeClr val="accent1"/>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1"/>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1"/>
          </a:solidFill>
          <a:ln>
            <a:noFill/>
          </a:ln>
          <a:effectLst/>
        </c:spPr>
      </c:pivotFmt>
      <c:pivotFmt>
        <c:idx val="12"/>
        <c:spPr>
          <a:solidFill>
            <a:schemeClr val="accent2"/>
          </a:solidFill>
          <a:ln>
            <a:noFill/>
          </a:ln>
          <a:effectLst/>
        </c:spPr>
      </c:pivotFmt>
      <c:pivotFmt>
        <c:idx val="13"/>
        <c:spPr>
          <a:solidFill>
            <a:schemeClr val="accent1"/>
          </a:solidFill>
          <a:ln>
            <a:noFill/>
          </a:ln>
          <a:effectLst/>
        </c:spPr>
      </c:pivotFmt>
      <c:pivotFmt>
        <c:idx val="14"/>
        <c:spPr>
          <a:solidFill>
            <a:schemeClr val="accent2"/>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1"/>
          </a:solidFill>
          <a:ln>
            <a:noFill/>
          </a:ln>
          <a:effectLst/>
        </c:spPr>
      </c:pivotFmt>
      <c:pivotFmt>
        <c:idx val="20"/>
        <c:spPr>
          <a:solidFill>
            <a:schemeClr val="accent2"/>
          </a:solidFill>
          <a:ln>
            <a:noFill/>
          </a:ln>
          <a:effectLst/>
        </c:spPr>
      </c:pivotFmt>
    </c:pivotFmts>
    <c:plotArea>
      <c:layout/>
      <c:barChart>
        <c:barDir val="col"/>
        <c:grouping val="clustered"/>
        <c:varyColors val="0"/>
        <c:ser>
          <c:idx val="0"/>
          <c:order val="0"/>
          <c:tx>
            <c:strRef>
              <c:f>'Analysis &amp; Charts'!$B$29:$B$30</c:f>
              <c:strCache>
                <c:ptCount val="1"/>
                <c:pt idx="0">
                  <c:v>2016</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3CF8-41B1-99BE-B95841E2F79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6-3CF8-41B1-99BE-B95841E2F79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11-3CF8-41B1-99BE-B95841E2F791}"/>
              </c:ext>
            </c:extLst>
          </c:dPt>
          <c:dPt>
            <c:idx val="3"/>
            <c:invertIfNegative val="0"/>
            <c:bubble3D val="0"/>
            <c:spPr>
              <a:solidFill>
                <a:schemeClr val="accent1"/>
              </a:solidFill>
              <a:ln>
                <a:noFill/>
              </a:ln>
              <a:effectLst/>
            </c:spPr>
            <c:extLst>
              <c:ext xmlns:c16="http://schemas.microsoft.com/office/drawing/2014/chart" uri="{C3380CC4-5D6E-409C-BE32-E72D297353CC}">
                <c16:uniqueId val="{00000010-3CF8-41B1-99BE-B95841E2F791}"/>
              </c:ext>
            </c:extLst>
          </c:dPt>
          <c:dPt>
            <c:idx val="6"/>
            <c:invertIfNegative val="0"/>
            <c:bubble3D val="0"/>
            <c:spPr>
              <a:solidFill>
                <a:schemeClr val="accent1"/>
              </a:solidFill>
              <a:ln>
                <a:noFill/>
              </a:ln>
              <a:effectLst/>
            </c:spPr>
            <c:extLst>
              <c:ext xmlns:c16="http://schemas.microsoft.com/office/drawing/2014/chart" uri="{C3380CC4-5D6E-409C-BE32-E72D297353CC}">
                <c16:uniqueId val="{00000014-3CF8-41B1-99BE-B95841E2F791}"/>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E-3CF8-41B1-99BE-B95841E2F791}"/>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C-3CF8-41B1-99BE-B95841E2F791}"/>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9-3CF8-41B1-99BE-B95841E2F791}"/>
              </c:ext>
            </c:extLst>
          </c:dPt>
          <c:cat>
            <c:strRef>
              <c:f>'Analysis &amp; Charts'!$A$31:$A$43</c:f>
              <c:strCache>
                <c:ptCount val="12"/>
                <c:pt idx="0">
                  <c:v>Bulky Items</c:v>
                </c:pt>
                <c:pt idx="1">
                  <c:v>Graffiti Removal</c:v>
                </c:pt>
                <c:pt idx="2">
                  <c:v>Metal/Household Appliances</c:v>
                </c:pt>
                <c:pt idx="3">
                  <c:v>Illegal Dumping Pickup</c:v>
                </c:pt>
                <c:pt idx="4">
                  <c:v>Electronic Waste</c:v>
                </c:pt>
                <c:pt idx="5">
                  <c:v>Dead Animal Removal</c:v>
                </c:pt>
                <c:pt idx="6">
                  <c:v>Homeless Encampment</c:v>
                </c:pt>
                <c:pt idx="7">
                  <c:v>Single Streetlight Issue</c:v>
                </c:pt>
                <c:pt idx="8">
                  <c:v>Other</c:v>
                </c:pt>
                <c:pt idx="9">
                  <c:v>Multiple Streetlight Issue</c:v>
                </c:pt>
                <c:pt idx="10">
                  <c:v>Report Water Waste</c:v>
                </c:pt>
                <c:pt idx="11">
                  <c:v>Feedback</c:v>
                </c:pt>
              </c:strCache>
            </c:strRef>
          </c:cat>
          <c:val>
            <c:numRef>
              <c:f>'Analysis &amp; Charts'!$B$31:$B$43</c:f>
              <c:numCache>
                <c:formatCode>#,##0</c:formatCode>
                <c:ptCount val="12"/>
                <c:pt idx="0">
                  <c:v>36692.75</c:v>
                </c:pt>
                <c:pt idx="1">
                  <c:v>24619.083333333332</c:v>
                </c:pt>
                <c:pt idx="2">
                  <c:v>5545</c:v>
                </c:pt>
                <c:pt idx="3">
                  <c:v>4412.083333333333</c:v>
                </c:pt>
                <c:pt idx="4">
                  <c:v>3728.75</c:v>
                </c:pt>
                <c:pt idx="5">
                  <c:v>2220.25</c:v>
                </c:pt>
                <c:pt idx="6">
                  <c:v>1233.8333333333333</c:v>
                </c:pt>
                <c:pt idx="7">
                  <c:v>1009.75</c:v>
                </c:pt>
                <c:pt idx="8">
                  <c:v>802.08333333333337</c:v>
                </c:pt>
                <c:pt idx="9">
                  <c:v>340.33333333333331</c:v>
                </c:pt>
                <c:pt idx="10">
                  <c:v>135.5</c:v>
                </c:pt>
                <c:pt idx="11">
                  <c:v>28.5</c:v>
                </c:pt>
              </c:numCache>
            </c:numRef>
          </c:val>
          <c:extLst>
            <c:ext xmlns:c16="http://schemas.microsoft.com/office/drawing/2014/chart" uri="{C3380CC4-5D6E-409C-BE32-E72D297353CC}">
              <c16:uniqueId val="{00000000-3CF8-41B1-99BE-B95841E2F791}"/>
            </c:ext>
          </c:extLst>
        </c:ser>
        <c:ser>
          <c:idx val="1"/>
          <c:order val="1"/>
          <c:tx>
            <c:strRef>
              <c:f>'Analysis &amp; Charts'!$C$29:$C$30</c:f>
              <c:strCache>
                <c:ptCount val="1"/>
                <c:pt idx="0">
                  <c:v>2017</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3CF8-41B1-99BE-B95841E2F79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3CF8-41B1-99BE-B95841E2F79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7-3CF8-41B1-99BE-B95841E2F791}"/>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8-3CF8-41B1-99BE-B95841E2F791}"/>
              </c:ext>
            </c:extLst>
          </c:dPt>
          <c:dPt>
            <c:idx val="4"/>
            <c:invertIfNegative val="0"/>
            <c:bubble3D val="0"/>
            <c:spPr>
              <a:solidFill>
                <a:schemeClr val="accent2"/>
              </a:solidFill>
              <a:ln>
                <a:noFill/>
              </a:ln>
              <a:effectLst/>
            </c:spPr>
            <c:extLst>
              <c:ext xmlns:c16="http://schemas.microsoft.com/office/drawing/2014/chart" uri="{C3380CC4-5D6E-409C-BE32-E72D297353CC}">
                <c16:uniqueId val="{00000013-3CF8-41B1-99BE-B95841E2F791}"/>
              </c:ext>
            </c:extLst>
          </c:dPt>
          <c:dPt>
            <c:idx val="5"/>
            <c:invertIfNegative val="0"/>
            <c:bubble3D val="0"/>
            <c:spPr>
              <a:solidFill>
                <a:schemeClr val="accent2"/>
              </a:solidFill>
              <a:ln>
                <a:noFill/>
              </a:ln>
              <a:effectLst/>
            </c:spPr>
            <c:extLst>
              <c:ext xmlns:c16="http://schemas.microsoft.com/office/drawing/2014/chart" uri="{C3380CC4-5D6E-409C-BE32-E72D297353CC}">
                <c16:uniqueId val="{00000012-3CF8-41B1-99BE-B95841E2F791}"/>
              </c:ext>
            </c:extLst>
          </c:dPt>
          <c:dPt>
            <c:idx val="6"/>
            <c:invertIfNegative val="0"/>
            <c:bubble3D val="0"/>
            <c:spPr>
              <a:solidFill>
                <a:schemeClr val="accent2"/>
              </a:solidFill>
              <a:ln>
                <a:noFill/>
              </a:ln>
              <a:effectLst/>
            </c:spPr>
            <c:extLst>
              <c:ext xmlns:c16="http://schemas.microsoft.com/office/drawing/2014/chart" uri="{C3380CC4-5D6E-409C-BE32-E72D297353CC}">
                <c16:uniqueId val="{00000015-3CF8-41B1-99BE-B95841E2F791}"/>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F-3CF8-41B1-99BE-B95841E2F791}"/>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D-3CF8-41B1-99BE-B95841E2F791}"/>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B-3CF8-41B1-99BE-B95841E2F791}"/>
              </c:ext>
            </c:extLst>
          </c:dPt>
          <c:dPt>
            <c:idx val="10"/>
            <c:invertIfNegative val="0"/>
            <c:bubble3D val="0"/>
            <c:spPr>
              <a:solidFill>
                <a:schemeClr val="accent2"/>
              </a:solidFill>
              <a:ln>
                <a:noFill/>
              </a:ln>
              <a:effectLst/>
            </c:spPr>
            <c:extLst>
              <c:ext xmlns:c16="http://schemas.microsoft.com/office/drawing/2014/chart" uri="{C3380CC4-5D6E-409C-BE32-E72D297353CC}">
                <c16:uniqueId val="{0000000A-3CF8-41B1-99BE-B95841E2F791}"/>
              </c:ext>
            </c:extLst>
          </c:dPt>
          <c:cat>
            <c:strRef>
              <c:f>'Analysis &amp; Charts'!$A$31:$A$43</c:f>
              <c:strCache>
                <c:ptCount val="12"/>
                <c:pt idx="0">
                  <c:v>Bulky Items</c:v>
                </c:pt>
                <c:pt idx="1">
                  <c:v>Graffiti Removal</c:v>
                </c:pt>
                <c:pt idx="2">
                  <c:v>Metal/Household Appliances</c:v>
                </c:pt>
                <c:pt idx="3">
                  <c:v>Illegal Dumping Pickup</c:v>
                </c:pt>
                <c:pt idx="4">
                  <c:v>Electronic Waste</c:v>
                </c:pt>
                <c:pt idx="5">
                  <c:v>Dead Animal Removal</c:v>
                </c:pt>
                <c:pt idx="6">
                  <c:v>Homeless Encampment</c:v>
                </c:pt>
                <c:pt idx="7">
                  <c:v>Single Streetlight Issue</c:v>
                </c:pt>
                <c:pt idx="8">
                  <c:v>Other</c:v>
                </c:pt>
                <c:pt idx="9">
                  <c:v>Multiple Streetlight Issue</c:v>
                </c:pt>
                <c:pt idx="10">
                  <c:v>Report Water Waste</c:v>
                </c:pt>
                <c:pt idx="11">
                  <c:v>Feedback</c:v>
                </c:pt>
              </c:strCache>
            </c:strRef>
          </c:cat>
          <c:val>
            <c:numRef>
              <c:f>'Analysis &amp; Charts'!$C$31:$C$43</c:f>
              <c:numCache>
                <c:formatCode>#,##0</c:formatCode>
                <c:ptCount val="12"/>
                <c:pt idx="0">
                  <c:v>45039.25</c:v>
                </c:pt>
                <c:pt idx="1">
                  <c:v>26796.75</c:v>
                </c:pt>
                <c:pt idx="2">
                  <c:v>7404.583333333333</c:v>
                </c:pt>
                <c:pt idx="3">
                  <c:v>6976.5</c:v>
                </c:pt>
                <c:pt idx="4">
                  <c:v>3941.9166666666665</c:v>
                </c:pt>
                <c:pt idx="5">
                  <c:v>2260.3333333333335</c:v>
                </c:pt>
                <c:pt idx="6">
                  <c:v>2252.5833333333335</c:v>
                </c:pt>
                <c:pt idx="7">
                  <c:v>1087.3333333333333</c:v>
                </c:pt>
                <c:pt idx="8">
                  <c:v>1088.6666666666667</c:v>
                </c:pt>
                <c:pt idx="9">
                  <c:v>499.33333333333331</c:v>
                </c:pt>
                <c:pt idx="10">
                  <c:v>114.91666666666667</c:v>
                </c:pt>
                <c:pt idx="11">
                  <c:v>24.666666666666668</c:v>
                </c:pt>
              </c:numCache>
            </c:numRef>
          </c:val>
          <c:extLst>
            <c:ext xmlns:c16="http://schemas.microsoft.com/office/drawing/2014/chart" uri="{C3380CC4-5D6E-409C-BE32-E72D297353CC}">
              <c16:uniqueId val="{00000001-3CF8-41B1-99BE-B95841E2F791}"/>
            </c:ext>
          </c:extLst>
        </c:ser>
        <c:dLbls>
          <c:showLegendKey val="0"/>
          <c:showVal val="0"/>
          <c:showCatName val="0"/>
          <c:showSerName val="0"/>
          <c:showPercent val="0"/>
          <c:showBubbleSize val="0"/>
        </c:dLbls>
        <c:gapWidth val="219"/>
        <c:overlap val="-27"/>
        <c:axId val="1957685391"/>
        <c:axId val="1957685871"/>
      </c:barChart>
      <c:catAx>
        <c:axId val="1957685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request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685871"/>
        <c:crosses val="autoZero"/>
        <c:auto val="1"/>
        <c:lblAlgn val="ctr"/>
        <c:lblOffset val="100"/>
        <c:noMultiLvlLbl val="0"/>
      </c:catAx>
      <c:valAx>
        <c:axId val="1957685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number of reqests per year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68539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[KhadijaAbdullaAlHay_Citi311_Project_Workbook_Template.xlsx]PR2-per year-month-requesttype!PivotTable1</c:name>
    <c:fmtId val="0"/>
  </c:pivotSource>
  <c:chart>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5.0669562070213538E-2"/>
              <c:y val="3.1476235442241107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c:spPr>
        <c:dLbl>
          <c:idx val="0"/>
          <c:layout>
            <c:manualLayout>
              <c:x val="3.2573289902280061E-2"/>
              <c:y val="-5.0361976707585743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1.8096272167933407E-2"/>
              <c:y val="-5.3509600251809938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c:spPr>
        <c:dLbl>
          <c:idx val="0"/>
          <c:layout>
            <c:manualLayout>
              <c:x val="3.7656052622745122E-2"/>
              <c:y val="-2.2480617547874504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2.9703636252952904E-2"/>
              <c:y val="-3.138250343209957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2.15793469507649E-2"/>
              <c:y val="-1.7795308414063279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olidFill>
          <a:ln>
            <a:noFill/>
          </a:ln>
          <a:effectLst/>
        </c:spPr>
        <c:dLbl>
          <c:idx val="0"/>
          <c:layout>
            <c:manualLayout>
              <c:x val="1.2138382659805312E-2"/>
              <c:y val="-1.5570894862305298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2.697418368845724E-3"/>
              <c:y val="-5.1161511690431691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a:noFill/>
          </a:ln>
          <a:effectLst/>
        </c:spPr>
        <c:dLbl>
          <c:idx val="0"/>
          <c:layout>
            <c:manualLayout>
              <c:x val="4.0461275532684372E-3"/>
              <c:y val="-1.5570894862305298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a:noFill/>
          </a:ln>
          <a:effectLst/>
        </c:spPr>
        <c:dLbl>
          <c:idx val="0"/>
          <c:layout>
            <c:manualLayout>
              <c:x val="1.2138382659805312E-2"/>
              <c:y val="-1.5570894862305298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solidFill>
          <a:ln>
            <a:noFill/>
          </a:ln>
          <a:effectLst/>
        </c:spPr>
        <c:dLbl>
          <c:idx val="0"/>
          <c:layout>
            <c:manualLayout>
              <c:x val="1.2138382659805312E-2"/>
              <c:y val="-1.5570894862305461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layout>
            <c:manualLayout>
              <c:x val="-8.0922551065368744E-3"/>
              <c:y val="-2.2244135517578999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solidFill>
          <a:ln>
            <a:noFill/>
          </a:ln>
          <a:effectLst/>
        </c:spPr>
        <c:dLbl>
          <c:idx val="0"/>
          <c:layout>
            <c:manualLayout>
              <c:x val="2.4281892385766089E-2"/>
              <c:y val="-4.8705528011540773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dLbl>
          <c:idx val="0"/>
          <c:layout>
            <c:manualLayout>
              <c:x val="-6.7435459221140623E-3"/>
              <c:y val="-2.0019721965821181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c:spPr>
        <c:dLbl>
          <c:idx val="0"/>
          <c:layout>
            <c:manualLayout>
              <c:x val="-1.6195917034820914E-2"/>
              <c:y val="-3.3238799048166422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solidFill>
          <a:ln>
            <a:noFill/>
          </a:ln>
          <a:effectLst/>
        </c:spPr>
        <c:dLbl>
          <c:idx val="0"/>
          <c:layout>
            <c:manualLayout>
              <c:x val="-8.1096993281082174E-3"/>
              <c:y val="-3.8156040000395956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dLbl>
          <c:idx val="0"/>
          <c:layout>
            <c:manualLayout>
              <c:x val="-9.4229827503237162E-3"/>
              <c:y val="-3.7337315057936984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2"/>
          </a:solidFill>
          <a:ln>
            <a:noFill/>
          </a:ln>
          <a:effectLst/>
        </c:spPr>
        <c:dLbl>
          <c:idx val="0"/>
          <c:layout>
            <c:manualLayout>
              <c:x val="1.4807544321937425E-2"/>
              <c:y val="-5.051519096073822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c:spPr>
        <c:dLbl>
          <c:idx val="0"/>
          <c:layout>
            <c:manualLayout>
              <c:x val="-1.3470214756588446E-2"/>
              <c:y val="-2.4719945315304855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9707"/>
                    <a:gd name="adj2" fmla="val 233563"/>
                  </a:avLst>
                </a:prstGeom>
                <a:noFill/>
                <a:ln>
                  <a:noFill/>
                </a:ln>
              </c15:spPr>
            </c:ext>
          </c:extLst>
        </c:dLbl>
      </c:pivotFmt>
      <c:pivotFmt>
        <c:idx val="21"/>
        <c:spPr>
          <a:solidFill>
            <a:schemeClr val="accent2"/>
          </a:solidFill>
          <a:ln>
            <a:noFill/>
          </a:ln>
          <a:effectLst/>
        </c:spPr>
        <c:dLbl>
          <c:idx val="0"/>
          <c:layout>
            <c:manualLayout>
              <c:x val="1.3478783916520691E-3"/>
              <c:y val="-6.986196893280644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'PR2-per year-month-requesttype'!$H$2:$H$3</c:f>
              <c:strCache>
                <c:ptCount val="1"/>
                <c:pt idx="0">
                  <c:v>2016</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11-963C-4CF4-BBAD-4B1D6D94F83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10-963C-4CF4-BBAD-4B1D6D94F83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E-963C-4CF4-BBAD-4B1D6D94F83D}"/>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963C-4CF4-BBAD-4B1D6D94F83D}"/>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963C-4CF4-BBAD-4B1D6D94F83D}"/>
              </c:ext>
            </c:extLst>
          </c:dPt>
          <c:dPt>
            <c:idx val="6"/>
            <c:invertIfNegative val="0"/>
            <c:bubble3D val="0"/>
            <c:spPr>
              <a:solidFill>
                <a:schemeClr val="accent1"/>
              </a:solidFill>
              <a:ln>
                <a:noFill/>
              </a:ln>
              <a:effectLst/>
            </c:spPr>
            <c:extLst>
              <c:ext xmlns:c16="http://schemas.microsoft.com/office/drawing/2014/chart" uri="{C3380CC4-5D6E-409C-BE32-E72D297353CC}">
                <c16:uniqueId val="{00000015-963C-4CF4-BBAD-4B1D6D94F83D}"/>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7-963C-4CF4-BBAD-4B1D6D94F83D}"/>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8-963C-4CF4-BBAD-4B1D6D94F83D}"/>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A-963C-4CF4-BBAD-4B1D6D94F83D}"/>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13-963C-4CF4-BBAD-4B1D6D94F83D}"/>
              </c:ext>
            </c:extLst>
          </c:dPt>
          <c:dLbls>
            <c:dLbl>
              <c:idx val="1"/>
              <c:layout>
                <c:manualLayout>
                  <c:x val="-1.6195917034820914E-2"/>
                  <c:y val="-3.32387990481664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63C-4CF4-BBAD-4B1D6D94F83D}"/>
                </c:ext>
              </c:extLst>
            </c:dLbl>
            <c:dLbl>
              <c:idx val="2"/>
              <c:layout>
                <c:manualLayout>
                  <c:x val="-6.7435459221140623E-3"/>
                  <c:y val="-2.00197219658211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63C-4CF4-BBAD-4B1D6D94F83D}"/>
                </c:ext>
              </c:extLst>
            </c:dLbl>
            <c:dLbl>
              <c:idx val="3"/>
              <c:layout>
                <c:manualLayout>
                  <c:x val="-8.0922551065368744E-3"/>
                  <c:y val="-2.22441355175789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63C-4CF4-BBAD-4B1D6D94F83D}"/>
                </c:ext>
              </c:extLst>
            </c:dLbl>
            <c:dLbl>
              <c:idx val="4"/>
              <c:layout>
                <c:manualLayout>
                  <c:x val="-5.0669562070213538E-2"/>
                  <c:y val="3.1476235442241107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63C-4CF4-BBAD-4B1D6D94F83D}"/>
                </c:ext>
              </c:extLst>
            </c:dLbl>
            <c:dLbl>
              <c:idx val="5"/>
              <c:layout>
                <c:manualLayout>
                  <c:x val="-1.8096272167933407E-2"/>
                  <c:y val="-5.35096002518099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3C-4CF4-BBAD-4B1D6D94F83D}"/>
                </c:ext>
              </c:extLst>
            </c:dLbl>
            <c:dLbl>
              <c:idx val="6"/>
              <c:layout>
                <c:manualLayout>
                  <c:x val="-1.3470214756588446E-2"/>
                  <c:y val="-2.4719945315304855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9707"/>
                        <a:gd name="adj2" fmla="val 233563"/>
                      </a:avLst>
                    </a:prstGeom>
                    <a:noFill/>
                    <a:ln>
                      <a:noFill/>
                    </a:ln>
                  </c15:spPr>
                </c:ext>
                <c:ext xmlns:c16="http://schemas.microsoft.com/office/drawing/2014/chart" uri="{C3380CC4-5D6E-409C-BE32-E72D297353CC}">
                  <c16:uniqueId val="{00000015-963C-4CF4-BBAD-4B1D6D94F83D}"/>
                </c:ext>
              </c:extLst>
            </c:dLbl>
            <c:dLbl>
              <c:idx val="8"/>
              <c:layout>
                <c:manualLayout>
                  <c:x val="-2.9703636252952904E-2"/>
                  <c:y val="-3.1382503432099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63C-4CF4-BBAD-4B1D6D94F83D}"/>
                </c:ext>
              </c:extLst>
            </c:dLbl>
            <c:dLbl>
              <c:idx val="9"/>
              <c:layout>
                <c:manualLayout>
                  <c:x val="-2.15793469507649E-2"/>
                  <c:y val="-1.77953084140632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63C-4CF4-BBAD-4B1D6D94F83D}"/>
                </c:ext>
              </c:extLst>
            </c:dLbl>
            <c:dLbl>
              <c:idx val="10"/>
              <c:layout>
                <c:manualLayout>
                  <c:x val="-2.697418368845724E-3"/>
                  <c:y val="-5.11615116904316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63C-4CF4-BBAD-4B1D6D94F83D}"/>
                </c:ext>
              </c:extLst>
            </c:dLbl>
            <c:dLbl>
              <c:idx val="11"/>
              <c:layout>
                <c:manualLayout>
                  <c:x val="-9.4229827503237162E-3"/>
                  <c:y val="-3.73373150579369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63C-4CF4-BBAD-4B1D6D94F83D}"/>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'PR2-per year-month-requesttype'!$G$4:$G$16</c:f>
              <c:strCache>
                <c:ptCount val="12"/>
                <c:pt idx="0">
                  <c:v>Bulky Items</c:v>
                </c:pt>
                <c:pt idx="1">
                  <c:v>Dead Animal Removal</c:v>
                </c:pt>
                <c:pt idx="2">
                  <c:v>Electronic Waste</c:v>
                </c:pt>
                <c:pt idx="3">
                  <c:v>Feedback</c:v>
                </c:pt>
                <c:pt idx="4">
                  <c:v>Graffiti Removal</c:v>
                </c:pt>
                <c:pt idx="5">
                  <c:v>Homeless Encampment</c:v>
                </c:pt>
                <c:pt idx="6">
                  <c:v>Illegal Dumping Pickup</c:v>
                </c:pt>
                <c:pt idx="7">
                  <c:v>Metal/Household Appliances</c:v>
                </c:pt>
                <c:pt idx="8">
                  <c:v>Multiple Streetlight Issue</c:v>
                </c:pt>
                <c:pt idx="9">
                  <c:v>Other</c:v>
                </c:pt>
                <c:pt idx="10">
                  <c:v>Report Water Waste</c:v>
                </c:pt>
                <c:pt idx="11">
                  <c:v>Single Streetlight Issue</c:v>
                </c:pt>
              </c:strCache>
            </c:strRef>
          </c:cat>
          <c:val>
            <c:numRef>
              <c:f>'PR2-per year-month-requesttype'!$H$4:$H$16</c:f>
              <c:numCache>
                <c:formatCode>#,##0</c:formatCode>
                <c:ptCount val="12"/>
                <c:pt idx="0">
                  <c:v>36692.75</c:v>
                </c:pt>
                <c:pt idx="1">
                  <c:v>2220.25</c:v>
                </c:pt>
                <c:pt idx="2">
                  <c:v>3728.75</c:v>
                </c:pt>
                <c:pt idx="3">
                  <c:v>28.5</c:v>
                </c:pt>
                <c:pt idx="4">
                  <c:v>24619.083333333332</c:v>
                </c:pt>
                <c:pt idx="5">
                  <c:v>1233.8333333333333</c:v>
                </c:pt>
                <c:pt idx="6">
                  <c:v>4412.083333333333</c:v>
                </c:pt>
                <c:pt idx="7">
                  <c:v>5545</c:v>
                </c:pt>
                <c:pt idx="8">
                  <c:v>340.33333333333331</c:v>
                </c:pt>
                <c:pt idx="9">
                  <c:v>802.08333333333337</c:v>
                </c:pt>
                <c:pt idx="10">
                  <c:v>135.5</c:v>
                </c:pt>
                <c:pt idx="11">
                  <c:v>1009.75</c:v>
                </c:pt>
              </c:numCache>
            </c:numRef>
          </c:val>
          <c:extLst>
            <c:ext xmlns:c16="http://schemas.microsoft.com/office/drawing/2014/chart" uri="{C3380CC4-5D6E-409C-BE32-E72D297353CC}">
              <c16:uniqueId val="{00000000-963C-4CF4-BBAD-4B1D6D94F83D}"/>
            </c:ext>
          </c:extLst>
        </c:ser>
        <c:ser>
          <c:idx val="1"/>
          <c:order val="1"/>
          <c:tx>
            <c:strRef>
              <c:f>'PR2-per year-month-requesttype'!$I$2:$I$3</c:f>
              <c:strCache>
                <c:ptCount val="1"/>
                <c:pt idx="0">
                  <c:v>2017</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16-963C-4CF4-BBAD-4B1D6D94F83D}"/>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F-963C-4CF4-BBAD-4B1D6D94F83D}"/>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D-963C-4CF4-BBAD-4B1D6D94F83D}"/>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4-963C-4CF4-BBAD-4B1D6D94F83D}"/>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C-963C-4CF4-BBAD-4B1D6D94F83D}"/>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6-963C-4CF4-BBAD-4B1D6D94F83D}"/>
              </c:ext>
            </c:extLst>
          </c:dPt>
          <c:dPt>
            <c:idx val="8"/>
            <c:invertIfNegative val="0"/>
            <c:bubble3D val="0"/>
            <c:spPr>
              <a:solidFill>
                <a:schemeClr val="accent2"/>
              </a:solidFill>
              <a:ln>
                <a:noFill/>
              </a:ln>
              <a:effectLst/>
            </c:spPr>
            <c:extLst>
              <c:ext xmlns:c16="http://schemas.microsoft.com/office/drawing/2014/chart" uri="{C3380CC4-5D6E-409C-BE32-E72D297353CC}">
                <c16:uniqueId val="{00000012-963C-4CF4-BBAD-4B1D6D94F83D}"/>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9-963C-4CF4-BBAD-4B1D6D94F83D}"/>
              </c:ext>
            </c:extLst>
          </c:dPt>
          <c:dPt>
            <c:idx val="10"/>
            <c:invertIfNegative val="0"/>
            <c:bubble3D val="0"/>
            <c:spPr>
              <a:solidFill>
                <a:schemeClr val="accent2"/>
              </a:solidFill>
              <a:ln>
                <a:noFill/>
              </a:ln>
              <a:effectLst/>
            </c:spPr>
            <c:extLst>
              <c:ext xmlns:c16="http://schemas.microsoft.com/office/drawing/2014/chart" uri="{C3380CC4-5D6E-409C-BE32-E72D297353CC}">
                <c16:uniqueId val="{0000000B-963C-4CF4-BBAD-4B1D6D94F83D}"/>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14-963C-4CF4-BBAD-4B1D6D94F83D}"/>
              </c:ext>
            </c:extLst>
          </c:dPt>
          <c:dLbls>
            <c:dLbl>
              <c:idx val="1"/>
              <c:layout>
                <c:manualLayout>
                  <c:x val="1.3478783916520691E-3"/>
                  <c:y val="-6.9861968932806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63C-4CF4-BBAD-4B1D6D94F83D}"/>
                </c:ext>
              </c:extLst>
            </c:dLbl>
            <c:dLbl>
              <c:idx val="2"/>
              <c:layout>
                <c:manualLayout>
                  <c:x val="2.4281892385766089E-2"/>
                  <c:y val="-4.8705528011540773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F-963C-4CF4-BBAD-4B1D6D94F83D}"/>
                </c:ext>
              </c:extLst>
            </c:dLbl>
            <c:dLbl>
              <c:idx val="3"/>
              <c:layout>
                <c:manualLayout>
                  <c:x val="1.2138382659805312E-2"/>
                  <c:y val="-1.55708948623054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63C-4CF4-BBAD-4B1D6D94F83D}"/>
                </c:ext>
              </c:extLst>
            </c:dLbl>
            <c:dLbl>
              <c:idx val="4"/>
              <c:layout>
                <c:manualLayout>
                  <c:x val="3.2573289902280061E-2"/>
                  <c:y val="-5.03619767075857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3C-4CF4-BBAD-4B1D6D94F83D}"/>
                </c:ext>
              </c:extLst>
            </c:dLbl>
            <c:dLbl>
              <c:idx val="6"/>
              <c:layout>
                <c:manualLayout>
                  <c:x val="1.2138382659805312E-2"/>
                  <c:y val="-1.5570894862305298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C-963C-4CF4-BBAD-4B1D6D94F83D}"/>
                </c:ext>
              </c:extLst>
            </c:dLbl>
            <c:dLbl>
              <c:idx val="7"/>
              <c:layout>
                <c:manualLayout>
                  <c:x val="3.7656052622745122E-2"/>
                  <c:y val="-2.24806175478745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63C-4CF4-BBAD-4B1D6D94F83D}"/>
                </c:ext>
              </c:extLst>
            </c:dLbl>
            <c:dLbl>
              <c:idx val="8"/>
              <c:layout>
                <c:manualLayout>
                  <c:x val="-8.1096993281082174E-3"/>
                  <c:y val="-3.81560400003959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63C-4CF4-BBAD-4B1D6D94F83D}"/>
                </c:ext>
              </c:extLst>
            </c:dLbl>
            <c:dLbl>
              <c:idx val="9"/>
              <c:layout>
                <c:manualLayout>
                  <c:x val="1.2138382659805312E-2"/>
                  <c:y val="-1.55708948623052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63C-4CF4-BBAD-4B1D6D94F83D}"/>
                </c:ext>
              </c:extLst>
            </c:dLbl>
            <c:dLbl>
              <c:idx val="10"/>
              <c:layout>
                <c:manualLayout>
                  <c:x val="4.0461275532684372E-3"/>
                  <c:y val="-1.55708948623052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63C-4CF4-BBAD-4B1D6D94F83D}"/>
                </c:ext>
              </c:extLst>
            </c:dLbl>
            <c:dLbl>
              <c:idx val="11"/>
              <c:layout>
                <c:manualLayout>
                  <c:x val="1.4807544321937425E-2"/>
                  <c:y val="-5.0515190960738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63C-4CF4-BBAD-4B1D6D94F83D}"/>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'PR2-per year-month-requesttype'!$G$4:$G$16</c:f>
              <c:strCache>
                <c:ptCount val="12"/>
                <c:pt idx="0">
                  <c:v>Bulky Items</c:v>
                </c:pt>
                <c:pt idx="1">
                  <c:v>Dead Animal Removal</c:v>
                </c:pt>
                <c:pt idx="2">
                  <c:v>Electronic Waste</c:v>
                </c:pt>
                <c:pt idx="3">
                  <c:v>Feedback</c:v>
                </c:pt>
                <c:pt idx="4">
                  <c:v>Graffiti Removal</c:v>
                </c:pt>
                <c:pt idx="5">
                  <c:v>Homeless Encampment</c:v>
                </c:pt>
                <c:pt idx="6">
                  <c:v>Illegal Dumping Pickup</c:v>
                </c:pt>
                <c:pt idx="7">
                  <c:v>Metal/Household Appliances</c:v>
                </c:pt>
                <c:pt idx="8">
                  <c:v>Multiple Streetlight Issue</c:v>
                </c:pt>
                <c:pt idx="9">
                  <c:v>Other</c:v>
                </c:pt>
                <c:pt idx="10">
                  <c:v>Report Water Waste</c:v>
                </c:pt>
                <c:pt idx="11">
                  <c:v>Single Streetlight Issue</c:v>
                </c:pt>
              </c:strCache>
            </c:strRef>
          </c:cat>
          <c:val>
            <c:numRef>
              <c:f>'PR2-per year-month-requesttype'!$I$4:$I$16</c:f>
              <c:numCache>
                <c:formatCode>#,##0</c:formatCode>
                <c:ptCount val="12"/>
                <c:pt idx="0">
                  <c:v>45039.25</c:v>
                </c:pt>
                <c:pt idx="1">
                  <c:v>2260.3333333333335</c:v>
                </c:pt>
                <c:pt idx="2">
                  <c:v>3941.9166666666665</c:v>
                </c:pt>
                <c:pt idx="3">
                  <c:v>24.666666666666668</c:v>
                </c:pt>
                <c:pt idx="4">
                  <c:v>26796.75</c:v>
                </c:pt>
                <c:pt idx="5">
                  <c:v>2252.5833333333335</c:v>
                </c:pt>
                <c:pt idx="6">
                  <c:v>6976.5</c:v>
                </c:pt>
                <c:pt idx="7">
                  <c:v>7404.583333333333</c:v>
                </c:pt>
                <c:pt idx="8">
                  <c:v>499.33333333333331</c:v>
                </c:pt>
                <c:pt idx="9">
                  <c:v>1088.6666666666667</c:v>
                </c:pt>
                <c:pt idx="10">
                  <c:v>114.91666666666667</c:v>
                </c:pt>
                <c:pt idx="11">
                  <c:v>1087.3333333333333</c:v>
                </c:pt>
              </c:numCache>
            </c:numRef>
          </c:val>
          <c:extLst>
            <c:ext xmlns:c16="http://schemas.microsoft.com/office/drawing/2014/chart" uri="{C3380CC4-5D6E-409C-BE32-E72D297353CC}">
              <c16:uniqueId val="{00000001-963C-4CF4-BBAD-4B1D6D94F83D}"/>
            </c:ext>
          </c:extLst>
        </c:ser>
        <c:dLbls>
          <c:dLblPos val="outEnd"/>
          <c:showLegendKey val="0"/>
          <c:showVal val="1"/>
          <c:showCatName val="0"/>
          <c:showSerName val="0"/>
          <c:showPercent val="0"/>
          <c:showBubbleSize val="0"/>
        </c:dLbls>
        <c:gapWidth val="219"/>
        <c:overlap val="-27"/>
        <c:axId val="342757792"/>
        <c:axId val="342738112"/>
      </c:barChart>
      <c:catAx>
        <c:axId val="34275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38112"/>
        <c:crosses val="autoZero"/>
        <c:auto val="1"/>
        <c:lblAlgn val="ctr"/>
        <c:lblOffset val="100"/>
        <c:noMultiLvlLbl val="0"/>
      </c:catAx>
      <c:valAx>
        <c:axId val="34273811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5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Cases per year VS Mean Time To Resolve (MTTR)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Reference!$C$6</c:f>
              <c:strCache>
                <c:ptCount val="1"/>
                <c:pt idx="0">
                  <c:v>no_cases_per_year</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Reference!$A$7:$B$20</c:f>
              <c:multiLvlStrCache>
                <c:ptCount val="14"/>
                <c:lvl>
                  <c:pt idx="0">
                    <c:v>BOS</c:v>
                  </c:pt>
                  <c:pt idx="1">
                    <c:v>BSL</c:v>
                  </c:pt>
                  <c:pt idx="2">
                    <c:v>BSS</c:v>
                  </c:pt>
                  <c:pt idx="3">
                    <c:v>ITA</c:v>
                  </c:pt>
                  <c:pt idx="4">
                    <c:v>LADWP</c:v>
                  </c:pt>
                  <c:pt idx="5">
                    <c:v>OCB</c:v>
                  </c:pt>
                  <c:pt idx="6">
                    <c:v>BOE</c:v>
                  </c:pt>
                  <c:pt idx="7">
                    <c:v>BOS</c:v>
                  </c:pt>
                  <c:pt idx="8">
                    <c:v>BSL</c:v>
                  </c:pt>
                  <c:pt idx="9">
                    <c:v>BSS</c:v>
                  </c:pt>
                  <c:pt idx="10">
                    <c:v>ITA</c:v>
                  </c:pt>
                  <c:pt idx="11">
                    <c:v>LADWP</c:v>
                  </c:pt>
                  <c:pt idx="12">
                    <c:v>OCB</c:v>
                  </c:pt>
                  <c:pt idx="13">
                    <c:v>RAP</c:v>
                  </c:pt>
                </c:lvl>
                <c:lvl>
                  <c:pt idx="0">
                    <c:v>2016</c:v>
                  </c:pt>
                  <c:pt idx="1">
                    <c:v>2016</c:v>
                  </c:pt>
                  <c:pt idx="2">
                    <c:v>2016</c:v>
                  </c:pt>
                  <c:pt idx="3">
                    <c:v>2016</c:v>
                  </c:pt>
                  <c:pt idx="4">
                    <c:v>2016</c:v>
                  </c:pt>
                  <c:pt idx="5">
                    <c:v>2016</c:v>
                  </c:pt>
                  <c:pt idx="6">
                    <c:v>2017</c:v>
                  </c:pt>
                  <c:pt idx="7">
                    <c:v>2017</c:v>
                  </c:pt>
                  <c:pt idx="8">
                    <c:v>2017</c:v>
                  </c:pt>
                  <c:pt idx="9">
                    <c:v>2017</c:v>
                  </c:pt>
                  <c:pt idx="10">
                    <c:v>2017</c:v>
                  </c:pt>
                  <c:pt idx="11">
                    <c:v>2017</c:v>
                  </c:pt>
                  <c:pt idx="12">
                    <c:v>2017</c:v>
                  </c:pt>
                  <c:pt idx="13">
                    <c:v>2017</c:v>
                  </c:pt>
                </c:lvl>
              </c:multiLvlStrCache>
            </c:multiLvlStrRef>
          </c:cat>
          <c:val>
            <c:numRef>
              <c:f>Reference!$C$7:$C$20</c:f>
              <c:numCache>
                <c:formatCode>General</c:formatCode>
                <c:ptCount val="14"/>
                <c:pt idx="0">
                  <c:v>565424</c:v>
                </c:pt>
                <c:pt idx="1">
                  <c:v>14676</c:v>
                </c:pt>
                <c:pt idx="2">
                  <c:v>1828</c:v>
                </c:pt>
                <c:pt idx="3">
                  <c:v>7304</c:v>
                </c:pt>
                <c:pt idx="4">
                  <c:v>1512</c:v>
                </c:pt>
                <c:pt idx="5">
                  <c:v>277336</c:v>
                </c:pt>
                <c:pt idx="6">
                  <c:v>4</c:v>
                </c:pt>
                <c:pt idx="7">
                  <c:v>711850</c:v>
                </c:pt>
                <c:pt idx="8">
                  <c:v>16633</c:v>
                </c:pt>
                <c:pt idx="9">
                  <c:v>195</c:v>
                </c:pt>
                <c:pt idx="10">
                  <c:v>10421</c:v>
                </c:pt>
                <c:pt idx="11">
                  <c:v>1251</c:v>
                </c:pt>
                <c:pt idx="12">
                  <c:v>305527</c:v>
                </c:pt>
                <c:pt idx="13">
                  <c:v>1</c:v>
                </c:pt>
              </c:numCache>
            </c:numRef>
          </c:val>
          <c:extLst>
            <c:ext xmlns:c16="http://schemas.microsoft.com/office/drawing/2014/chart" uri="{C3380CC4-5D6E-409C-BE32-E72D297353CC}">
              <c16:uniqueId val="{00000000-EAF7-4E3D-A852-D09EA4578DC4}"/>
            </c:ext>
          </c:extLst>
        </c:ser>
        <c:dLbls>
          <c:showLegendKey val="0"/>
          <c:showVal val="1"/>
          <c:showCatName val="0"/>
          <c:showSerName val="0"/>
          <c:showPercent val="0"/>
          <c:showBubbleSize val="0"/>
        </c:dLbls>
        <c:gapWidth val="150"/>
        <c:axId val="1249825455"/>
        <c:axId val="1249825935"/>
      </c:barChart>
      <c:lineChart>
        <c:grouping val="standard"/>
        <c:varyColors val="0"/>
        <c:ser>
          <c:idx val="1"/>
          <c:order val="1"/>
          <c:tx>
            <c:strRef>
              <c:f>Reference!$D$6</c:f>
              <c:strCache>
                <c:ptCount val="1"/>
                <c:pt idx="0">
                  <c:v>mttr  (days)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Reference!$A$7:$B$20</c:f>
              <c:multiLvlStrCache>
                <c:ptCount val="14"/>
                <c:lvl>
                  <c:pt idx="0">
                    <c:v>BOS</c:v>
                  </c:pt>
                  <c:pt idx="1">
                    <c:v>BSL</c:v>
                  </c:pt>
                  <c:pt idx="2">
                    <c:v>BSS</c:v>
                  </c:pt>
                  <c:pt idx="3">
                    <c:v>ITA</c:v>
                  </c:pt>
                  <c:pt idx="4">
                    <c:v>LADWP</c:v>
                  </c:pt>
                  <c:pt idx="5">
                    <c:v>OCB</c:v>
                  </c:pt>
                  <c:pt idx="6">
                    <c:v>BOE</c:v>
                  </c:pt>
                  <c:pt idx="7">
                    <c:v>BOS</c:v>
                  </c:pt>
                  <c:pt idx="8">
                    <c:v>BSL</c:v>
                  </c:pt>
                  <c:pt idx="9">
                    <c:v>BSS</c:v>
                  </c:pt>
                  <c:pt idx="10">
                    <c:v>ITA</c:v>
                  </c:pt>
                  <c:pt idx="11">
                    <c:v>LADWP</c:v>
                  </c:pt>
                  <c:pt idx="12">
                    <c:v>OCB</c:v>
                  </c:pt>
                  <c:pt idx="13">
                    <c:v>RAP</c:v>
                  </c:pt>
                </c:lvl>
                <c:lvl>
                  <c:pt idx="0">
                    <c:v>2016</c:v>
                  </c:pt>
                  <c:pt idx="1">
                    <c:v>2016</c:v>
                  </c:pt>
                  <c:pt idx="2">
                    <c:v>2016</c:v>
                  </c:pt>
                  <c:pt idx="3">
                    <c:v>2016</c:v>
                  </c:pt>
                  <c:pt idx="4">
                    <c:v>2016</c:v>
                  </c:pt>
                  <c:pt idx="5">
                    <c:v>2016</c:v>
                  </c:pt>
                  <c:pt idx="6">
                    <c:v>2017</c:v>
                  </c:pt>
                  <c:pt idx="7">
                    <c:v>2017</c:v>
                  </c:pt>
                  <c:pt idx="8">
                    <c:v>2017</c:v>
                  </c:pt>
                  <c:pt idx="9">
                    <c:v>2017</c:v>
                  </c:pt>
                  <c:pt idx="10">
                    <c:v>2017</c:v>
                  </c:pt>
                  <c:pt idx="11">
                    <c:v>2017</c:v>
                  </c:pt>
                  <c:pt idx="12">
                    <c:v>2017</c:v>
                  </c:pt>
                  <c:pt idx="13">
                    <c:v>2017</c:v>
                  </c:pt>
                </c:lvl>
              </c:multiLvlStrCache>
            </c:multiLvlStrRef>
          </c:cat>
          <c:val>
            <c:numRef>
              <c:f>Reference!$D$7:$D$20</c:f>
              <c:numCache>
                <c:formatCode>General</c:formatCode>
                <c:ptCount val="14"/>
                <c:pt idx="0">
                  <c:v>3</c:v>
                </c:pt>
                <c:pt idx="1">
                  <c:v>16</c:v>
                </c:pt>
                <c:pt idx="2">
                  <c:v>84</c:v>
                </c:pt>
                <c:pt idx="3">
                  <c:v>0</c:v>
                </c:pt>
                <c:pt idx="4">
                  <c:v>0</c:v>
                </c:pt>
                <c:pt idx="5">
                  <c:v>3</c:v>
                </c:pt>
                <c:pt idx="6">
                  <c:v>2</c:v>
                </c:pt>
                <c:pt idx="7">
                  <c:v>4</c:v>
                </c:pt>
                <c:pt idx="8">
                  <c:v>24</c:v>
                </c:pt>
                <c:pt idx="9">
                  <c:v>269</c:v>
                </c:pt>
                <c:pt idx="10">
                  <c:v>0</c:v>
                </c:pt>
                <c:pt idx="11">
                  <c:v>0</c:v>
                </c:pt>
                <c:pt idx="12">
                  <c:v>2</c:v>
                </c:pt>
                <c:pt idx="13">
                  <c:v>25</c:v>
                </c:pt>
              </c:numCache>
            </c:numRef>
          </c:val>
          <c:smooth val="0"/>
          <c:extLst>
            <c:ext xmlns:c16="http://schemas.microsoft.com/office/drawing/2014/chart" uri="{C3380CC4-5D6E-409C-BE32-E72D297353CC}">
              <c16:uniqueId val="{00000001-EAF7-4E3D-A852-D09EA4578DC4}"/>
            </c:ext>
          </c:extLst>
        </c:ser>
        <c:dLbls>
          <c:showLegendKey val="0"/>
          <c:showVal val="1"/>
          <c:showCatName val="0"/>
          <c:showSerName val="0"/>
          <c:showPercent val="0"/>
          <c:showBubbleSize val="0"/>
        </c:dLbls>
        <c:marker val="1"/>
        <c:smooth val="0"/>
        <c:axId val="236932943"/>
        <c:axId val="236948783"/>
      </c:lineChart>
      <c:catAx>
        <c:axId val="124982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25935"/>
        <c:crosses val="autoZero"/>
        <c:auto val="1"/>
        <c:lblAlgn val="ctr"/>
        <c:lblOffset val="100"/>
        <c:noMultiLvlLbl val="0"/>
      </c:catAx>
      <c:valAx>
        <c:axId val="1249825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solidFill>
              <a:schemeClr val="accent1">
                <a:alpha val="89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25455"/>
        <c:crosses val="autoZero"/>
        <c:crossBetween val="between"/>
      </c:valAx>
      <c:valAx>
        <c:axId val="23694878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MTTR in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32943"/>
        <c:crosses val="max"/>
        <c:crossBetween val="between"/>
      </c:valAx>
      <c:catAx>
        <c:axId val="236932943"/>
        <c:scaling>
          <c:orientation val="minMax"/>
        </c:scaling>
        <c:delete val="1"/>
        <c:axPos val="b"/>
        <c:numFmt formatCode="General" sourceLinked="1"/>
        <c:majorTickMark val="out"/>
        <c:minorTickMark val="none"/>
        <c:tickLblPos val="nextTo"/>
        <c:crossAx val="2369487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502920</xdr:colOff>
      <xdr:row>4</xdr:row>
      <xdr:rowOff>87630</xdr:rowOff>
    </xdr:from>
    <xdr:to>
      <xdr:col>13</xdr:col>
      <xdr:colOff>198120</xdr:colOff>
      <xdr:row>20</xdr:row>
      <xdr:rowOff>148590</xdr:rowOff>
    </xdr:to>
    <xdr:graphicFrame macro="">
      <xdr:nvGraphicFramePr>
        <xdr:cNvPr id="2" name="Chart 1">
          <a:extLst>
            <a:ext uri="{FF2B5EF4-FFF2-40B4-BE49-F238E27FC236}">
              <a16:creationId xmlns:a16="http://schemas.microsoft.com/office/drawing/2014/main" id="{2799C0E8-3D6B-899E-132B-19A8F6F5B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708660</xdr:colOff>
      <xdr:row>4</xdr:row>
      <xdr:rowOff>190500</xdr:rowOff>
    </xdr:from>
    <xdr:to>
      <xdr:col>13</xdr:col>
      <xdr:colOff>624840</xdr:colOff>
      <xdr:row>24</xdr:row>
      <xdr:rowOff>91440</xdr:rowOff>
    </xdr:to>
    <xdr:sp macro="" textlink="">
      <xdr:nvSpPr>
        <xdr:cNvPr id="3" name="TextBox 2">
          <a:extLst>
            <a:ext uri="{FF2B5EF4-FFF2-40B4-BE49-F238E27FC236}">
              <a16:creationId xmlns:a16="http://schemas.microsoft.com/office/drawing/2014/main" id="{5EA3536E-7416-BE0C-AAF2-3079CB10E442}"/>
            </a:ext>
          </a:extLst>
        </xdr:cNvPr>
        <xdr:cNvSpPr txBox="1"/>
      </xdr:nvSpPr>
      <xdr:spPr>
        <a:xfrm>
          <a:off x="8892540" y="861060"/>
          <a:ext cx="5052060" cy="3802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Q1:</a:t>
          </a:r>
          <a:r>
            <a:rPr lang="en-US" sz="1100" b="1" baseline="0"/>
            <a:t> Is there a delay in resolving requests raised as tickets in LA* 2016-2017 for each Responsible Agency; where the Mean Time To Resolve was Higher than 4 days(Overall average)? And, if it was high, what can we do to improve their perfornamce resulting in a shorter MTTR.</a:t>
          </a:r>
        </a:p>
        <a:p>
          <a:endParaRPr lang="en-US" sz="1100" baseline="0"/>
        </a:p>
        <a:p>
          <a:endParaRPr lang="en-US" sz="1100" baseline="0"/>
        </a:p>
        <a:p>
          <a:r>
            <a:rPr lang="en-US" sz="1100" b="1" baseline="0"/>
            <a:t>Metric used: </a:t>
          </a:r>
          <a:r>
            <a:rPr lang="en-US" sz="1100" baseline="0"/>
            <a:t>MTTR (Mean Time to resolve) per Responsible Agency in each year**</a:t>
          </a:r>
        </a:p>
        <a:p>
          <a:endParaRPr lang="en-US" sz="1100" baseline="0"/>
        </a:p>
        <a:p>
          <a:r>
            <a:rPr lang="en-US" sz="1100" b="1" baseline="0"/>
            <a:t>Use: </a:t>
          </a:r>
          <a:r>
            <a:rPr lang="en-US" sz="1100" baseline="0"/>
            <a:t>This can be used to help assess the performance of the team. As, based on the result the management can evaluate whether the agencies are slow to reslove the requests? or if they are fast, how can they help them maintain their performance. </a:t>
          </a:r>
        </a:p>
        <a:p>
          <a:endParaRPr lang="en-US" sz="1100" baseline="0"/>
        </a:p>
        <a:p>
          <a:r>
            <a:rPr lang="en-US" sz="1100" b="1" baseline="0"/>
            <a:t>Findings</a:t>
          </a:r>
          <a:r>
            <a:rPr lang="en-US" sz="1100" baseline="0"/>
            <a:t>: BSS, BSL, and RAP all had MTTRs more than 4 days. With BSS averaging around 269 days in 2017. These agencies could benefit from providing training and support for agents handleing the requests. Also, from On the other hand, both ITA and LADWP were fast and resolved their requests within a day on average. </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rgbClr val="FF0000"/>
              </a:solidFill>
            </a:rPr>
            <a:t>*</a:t>
          </a:r>
          <a:r>
            <a:rPr lang="en-US" sz="1100" baseline="0">
              <a:solidFill>
                <a:srgbClr val="FF0000"/>
              </a:solidFill>
              <a:effectLst/>
              <a:latin typeface="+mn-lt"/>
              <a:ea typeface="+mn-ea"/>
              <a:cs typeface="+mn-cs"/>
            </a:rPr>
            <a:t>excluding (44,42,0) neighborhood council ids due to having duplicate values, as well as open and cancelled tickets.</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rgbClr val="FF0000"/>
              </a:solidFill>
              <a:effectLst/>
              <a:latin typeface="+mn-lt"/>
              <a:ea typeface="+mn-ea"/>
              <a:cs typeface="+mn-cs"/>
            </a:rPr>
            <a:t>** any MTTR less than a day is recorded as Zero. </a:t>
          </a:r>
          <a:endParaRPr lang="en-US">
            <a:solidFill>
              <a:srgbClr val="FF0000"/>
            </a:solidFill>
            <a:effectLst/>
          </a:endParaRPr>
        </a:p>
      </xdr:txBody>
    </xdr:sp>
    <xdr:clientData/>
  </xdr:twoCellAnchor>
  <xdr:twoCellAnchor>
    <xdr:from>
      <xdr:col>12</xdr:col>
      <xdr:colOff>723900</xdr:colOff>
      <xdr:row>27</xdr:row>
      <xdr:rowOff>190500</xdr:rowOff>
    </xdr:from>
    <xdr:to>
      <xdr:col>17</xdr:col>
      <xdr:colOff>822960</xdr:colOff>
      <xdr:row>50</xdr:row>
      <xdr:rowOff>106680</xdr:rowOff>
    </xdr:to>
    <xdr:sp macro="" textlink="">
      <xdr:nvSpPr>
        <xdr:cNvPr id="5" name="TextBox 4">
          <a:extLst>
            <a:ext uri="{FF2B5EF4-FFF2-40B4-BE49-F238E27FC236}">
              <a16:creationId xmlns:a16="http://schemas.microsoft.com/office/drawing/2014/main" id="{43091666-FC6D-4F9C-A690-F8BF6DB78376}"/>
            </a:ext>
          </a:extLst>
        </xdr:cNvPr>
        <xdr:cNvSpPr txBox="1"/>
      </xdr:nvSpPr>
      <xdr:spPr>
        <a:xfrm>
          <a:off x="13053060" y="5356860"/>
          <a:ext cx="5052060" cy="4472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Q2:</a:t>
          </a:r>
          <a:r>
            <a:rPr lang="en-US" sz="1100" b="1" baseline="0"/>
            <a:t> for reccuring issues(requests) each year that is more than 7,427 requests(Average overall), is it possible to recommend ways to reduce the number of requests received in LA* based on 2016-2017 data?</a:t>
          </a:r>
        </a:p>
        <a:p>
          <a:endParaRPr lang="en-US" sz="1100" baseline="0"/>
        </a:p>
        <a:p>
          <a:r>
            <a:rPr lang="en-US" sz="1100" b="1" baseline="0"/>
            <a:t>Metric used: </a:t>
          </a:r>
          <a:r>
            <a:rPr lang="en-US" sz="1100" b="0" baseline="0"/>
            <a:t>average number of cases handled per year for each request type, </a:t>
          </a:r>
          <a:r>
            <a:rPr lang="en-US" sz="1100" b="0" baseline="0">
              <a:solidFill>
                <a:srgbClr val="FF0000"/>
              </a:solidFill>
            </a:rPr>
            <a:t>excluding cancelled requests. </a:t>
          </a:r>
          <a:endParaRPr lang="en-US" sz="1100" baseline="0">
            <a:solidFill>
              <a:srgbClr val="FF0000"/>
            </a:solidFill>
          </a:endParaRPr>
        </a:p>
        <a:p>
          <a:endParaRPr lang="en-US" sz="1100" baseline="0"/>
        </a:p>
        <a:p>
          <a:r>
            <a:rPr lang="en-US" sz="1100" b="1" baseline="0"/>
            <a:t>Use: </a:t>
          </a:r>
          <a:r>
            <a:rPr lang="en-US" sz="1100" baseline="0"/>
            <a:t>to locate reccuring issues/requests and implemening ways to lower the number of request received from the same type by either preventing the problem by making changes or increasing resources for the residents other than the Non-emergency hotline. </a:t>
          </a:r>
        </a:p>
        <a:p>
          <a:endParaRPr lang="en-US" sz="1100" baseline="0"/>
        </a:p>
        <a:p>
          <a:r>
            <a:rPr lang="en-US" sz="1100" b="1" baseline="0"/>
            <a:t>Findings</a:t>
          </a:r>
          <a:r>
            <a:rPr lang="en-US" sz="1100" baseline="0"/>
            <a:t>: </a:t>
          </a:r>
        </a:p>
        <a:p>
          <a:r>
            <a:rPr lang="en-US" sz="1100" baseline="0"/>
            <a:t>It seems that compared to the other request types, the number of (Bulky Items) requests is higher than the average which is </a:t>
          </a:r>
          <a:r>
            <a:rPr lang="en-US" sz="1100" b="1" baseline="0">
              <a:solidFill>
                <a:schemeClr val="dk1"/>
              </a:solidFill>
              <a:effectLst/>
              <a:latin typeface="+mn-lt"/>
              <a:ea typeface="+mn-ea"/>
              <a:cs typeface="+mn-cs"/>
            </a:rPr>
            <a:t>7,427 request </a:t>
          </a:r>
          <a:r>
            <a:rPr lang="en-US" sz="1100" b="0" baseline="0">
              <a:solidFill>
                <a:schemeClr val="dk1"/>
              </a:solidFill>
              <a:effectLst/>
              <a:latin typeface="+mn-lt"/>
              <a:ea typeface="+mn-ea"/>
              <a:cs typeface="+mn-cs"/>
            </a:rPr>
            <a:t>during</a:t>
          </a:r>
          <a:r>
            <a:rPr lang="en-US" sz="1100" baseline="0"/>
            <a:t> 2016-2017. Therefore, since currently LA has 5 locations for disposing of Bulky items in addition to an available line to pick up Bulky Items for free, an increase of the number of locations could reduce the number of requests recived from this category. Also, Graffiti Removal were above the average too. So, requests could be reduced by arranging for Neighborhood patrols, or increasing CCTV cameras around areas with recurring incidents.  </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rgbClr val="FF0000"/>
              </a:solidFill>
            </a:rPr>
            <a:t>*</a:t>
          </a:r>
          <a:r>
            <a:rPr lang="en-US" sz="1100" baseline="0">
              <a:solidFill>
                <a:srgbClr val="FF0000"/>
              </a:solidFill>
              <a:effectLst/>
              <a:latin typeface="+mn-lt"/>
              <a:ea typeface="+mn-ea"/>
              <a:cs typeface="+mn-cs"/>
            </a:rPr>
            <a:t>excluding (44,42,0) neighborhood council ids due to having duplicate values.</a:t>
          </a:r>
          <a:endParaRPr lang="en-US">
            <a:solidFill>
              <a:srgbClr val="FF0000"/>
            </a:solidFill>
            <a:effectLst/>
          </a:endParaRPr>
        </a:p>
      </xdr:txBody>
    </xdr:sp>
    <xdr:clientData/>
  </xdr:twoCellAnchor>
  <xdr:twoCellAnchor>
    <xdr:from>
      <xdr:col>4</xdr:col>
      <xdr:colOff>76200</xdr:colOff>
      <xdr:row>6</xdr:row>
      <xdr:rowOff>194310</xdr:rowOff>
    </xdr:from>
    <xdr:to>
      <xdr:col>8</xdr:col>
      <xdr:colOff>670560</xdr:colOff>
      <xdr:row>24</xdr:row>
      <xdr:rowOff>114300</xdr:rowOff>
    </xdr:to>
    <xdr:graphicFrame macro="">
      <xdr:nvGraphicFramePr>
        <xdr:cNvPr id="6" name="Chart 5">
          <a:extLst>
            <a:ext uri="{FF2B5EF4-FFF2-40B4-BE49-F238E27FC236}">
              <a16:creationId xmlns:a16="http://schemas.microsoft.com/office/drawing/2014/main" id="{ECEF9981-E15B-DEA4-43CA-7483DDF71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350520</xdr:colOff>
      <xdr:row>55</xdr:row>
      <xdr:rowOff>95250</xdr:rowOff>
    </xdr:from>
    <xdr:to>
      <xdr:col>10</xdr:col>
      <xdr:colOff>289560</xdr:colOff>
      <xdr:row>77</xdr:row>
      <xdr:rowOff>129540</xdr:rowOff>
    </xdr:to>
    <xdr:graphicFrame macro="">
      <xdr:nvGraphicFramePr>
        <xdr:cNvPr id="7" name="Chart 6">
          <a:extLst>
            <a:ext uri="{FF2B5EF4-FFF2-40B4-BE49-F238E27FC236}">
              <a16:creationId xmlns:a16="http://schemas.microsoft.com/office/drawing/2014/main" id="{1A48D30B-4E1B-14D2-2908-412E31120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289560</xdr:colOff>
      <xdr:row>25</xdr:row>
      <xdr:rowOff>60960</xdr:rowOff>
    </xdr:from>
    <xdr:to>
      <xdr:col>12</xdr:col>
      <xdr:colOff>457200</xdr:colOff>
      <xdr:row>54</xdr:row>
      <xdr:rowOff>68580</xdr:rowOff>
    </xdr:to>
    <xdr:graphicFrame macro="">
      <xdr:nvGraphicFramePr>
        <xdr:cNvPr id="8" name="Chart 7">
          <a:extLst>
            <a:ext uri="{FF2B5EF4-FFF2-40B4-BE49-F238E27FC236}">
              <a16:creationId xmlns:a16="http://schemas.microsoft.com/office/drawing/2014/main" id="{951B801A-BA6D-F162-3E8E-C8BC13456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487680</xdr:colOff>
      <xdr:row>55</xdr:row>
      <xdr:rowOff>91440</xdr:rowOff>
    </xdr:from>
    <xdr:to>
      <xdr:col>15</xdr:col>
      <xdr:colOff>586740</xdr:colOff>
      <xdr:row>74</xdr:row>
      <xdr:rowOff>129540</xdr:rowOff>
    </xdr:to>
    <xdr:sp macro="" textlink="">
      <xdr:nvSpPr>
        <xdr:cNvPr id="2" name="TextBox 1">
          <a:extLst>
            <a:ext uri="{FF2B5EF4-FFF2-40B4-BE49-F238E27FC236}">
              <a16:creationId xmlns:a16="http://schemas.microsoft.com/office/drawing/2014/main" id="{7F5EEEE2-E522-4A75-9F08-6E75D6D80050}"/>
            </a:ext>
          </a:extLst>
        </xdr:cNvPr>
        <xdr:cNvSpPr txBox="1"/>
      </xdr:nvSpPr>
      <xdr:spPr>
        <a:xfrm>
          <a:off x="10599420" y="10805160"/>
          <a:ext cx="5052060" cy="3802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Q3: how long does it take for each request type to be resolved on average in LA during 2016-2017*, </a:t>
          </a:r>
          <a:r>
            <a:rPr lang="en-US" sz="1100" b="1" baseline="0">
              <a:solidFill>
                <a:schemeClr val="dk1"/>
              </a:solidFill>
              <a:effectLst/>
              <a:latin typeface="+mn-lt"/>
              <a:ea typeface="+mn-ea"/>
              <a:cs typeface="+mn-cs"/>
            </a:rPr>
            <a:t>where the Mean Time To Resolve was Higher than 4 days(Overall average)? </a:t>
          </a:r>
          <a:endParaRPr lang="en-US" sz="1100" baseline="0"/>
        </a:p>
        <a:p>
          <a:endParaRPr lang="en-US" sz="1100" baseline="0"/>
        </a:p>
        <a:p>
          <a:r>
            <a:rPr lang="en-US" sz="1100" b="1" baseline="0"/>
            <a:t>Metric used: </a:t>
          </a:r>
          <a:r>
            <a:rPr lang="en-US" sz="1100" baseline="0"/>
            <a:t>MTTR (Mean Time to resolve) per request type in each year**</a:t>
          </a:r>
        </a:p>
        <a:p>
          <a:endParaRPr lang="en-US" sz="1100" baseline="0"/>
        </a:p>
        <a:p>
          <a:r>
            <a:rPr lang="en-US" sz="1100" b="1" baseline="0"/>
            <a:t>Use: </a:t>
          </a:r>
          <a:r>
            <a:rPr lang="en-US" sz="1100" baseline="0"/>
            <a:t>This can assess the average time it takes to resolve specific request types. This can help the agencies in determining whether they need to add a priority system, where each request type will have a priority (High/Medium/Low) by default and it can be modified manually by the agent handelling the case as needed.  </a:t>
          </a:r>
        </a:p>
        <a:p>
          <a:endParaRPr lang="en-US" sz="1100" baseline="0"/>
        </a:p>
        <a:p>
          <a:r>
            <a:rPr lang="en-US" sz="1100" b="1" baseline="0"/>
            <a:t>Findings</a:t>
          </a:r>
          <a:r>
            <a:rPr lang="en-US" sz="1100" baseline="0"/>
            <a:t>: </a:t>
          </a:r>
        </a:p>
        <a:p>
          <a:r>
            <a:rPr lang="en-US" sz="1100" baseline="0"/>
            <a:t>In both 2016-2017, multiple request types had an MTTR which was above the average (4 days). Feedback had the highest in both years, with 107 days in 2016 and 100 days in 2017. The agencies could assign a priority to each request thus ensuring that requests are resolved within a reasonable amount of time.</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rgbClr val="FF0000"/>
              </a:solidFill>
            </a:rPr>
            <a:t>*</a:t>
          </a:r>
          <a:r>
            <a:rPr lang="en-US" sz="1100" baseline="0">
              <a:solidFill>
                <a:srgbClr val="FF0000"/>
              </a:solidFill>
              <a:effectLst/>
              <a:latin typeface="+mn-lt"/>
              <a:ea typeface="+mn-ea"/>
              <a:cs typeface="+mn-cs"/>
            </a:rPr>
            <a:t>excluding (44,42,0) neighborhood council ids due to having duplicate values, as well as open and cancelled tickets.</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rgbClr val="FF0000"/>
              </a:solidFill>
              <a:effectLst/>
              <a:latin typeface="+mn-lt"/>
              <a:ea typeface="+mn-ea"/>
              <a:cs typeface="+mn-cs"/>
            </a:rPr>
            <a:t>** any MTTR less than a day is recorded as Zero. </a:t>
          </a:r>
          <a:endParaRPr lang="en-US">
            <a:solidFill>
              <a:srgbClr val="FF0000"/>
            </a:solidFil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535004</xdr:colOff>
      <xdr:row>16</xdr:row>
      <xdr:rowOff>160420</xdr:rowOff>
    </xdr:from>
    <xdr:to>
      <xdr:col>16</xdr:col>
      <xdr:colOff>304015</xdr:colOff>
      <xdr:row>50</xdr:row>
      <xdr:rowOff>147629</xdr:rowOff>
    </xdr:to>
    <xdr:graphicFrame macro="">
      <xdr:nvGraphicFramePr>
        <xdr:cNvPr id="2" name="Chart 1">
          <a:extLst>
            <a:ext uri="{FF2B5EF4-FFF2-40B4-BE49-F238E27FC236}">
              <a16:creationId xmlns:a16="http://schemas.microsoft.com/office/drawing/2014/main" id="{F9FBDBF8-B89C-7517-7717-6311FFD24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373380</xdr:colOff>
      <xdr:row>0</xdr:row>
      <xdr:rowOff>167640</xdr:rowOff>
    </xdr:from>
    <xdr:to>
      <xdr:col>11</xdr:col>
      <xdr:colOff>685800</xdr:colOff>
      <xdr:row>24</xdr:row>
      <xdr:rowOff>106680</xdr:rowOff>
    </xdr:to>
    <xdr:graphicFrame macro="">
      <xdr:nvGraphicFramePr>
        <xdr:cNvPr id="2" name="Chart 1">
          <a:extLst>
            <a:ext uri="{FF2B5EF4-FFF2-40B4-BE49-F238E27FC236}">
              <a16:creationId xmlns:a16="http://schemas.microsoft.com/office/drawing/2014/main" id="{3099EF2D-FC85-88BC-C6FD-AE1023161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137160</xdr:colOff>
      <xdr:row>0</xdr:row>
      <xdr:rowOff>160020</xdr:rowOff>
    </xdr:from>
    <xdr:to>
      <xdr:col>14</xdr:col>
      <xdr:colOff>106680</xdr:colOff>
      <xdr:row>26</xdr:row>
      <xdr:rowOff>7620</xdr:rowOff>
    </xdr:to>
    <xdr:sp macro="" textlink="">
      <xdr:nvSpPr>
        <xdr:cNvPr id="3" name="TextBox 2">
          <a:extLst>
            <a:ext uri="{FF2B5EF4-FFF2-40B4-BE49-F238E27FC236}">
              <a16:creationId xmlns:a16="http://schemas.microsoft.com/office/drawing/2014/main" id="{07BFC6AE-D0D6-D448-3FDF-3D1F037ECCF8}"/>
            </a:ext>
          </a:extLst>
        </xdr:cNvPr>
        <xdr:cNvSpPr txBox="1"/>
      </xdr:nvSpPr>
      <xdr:spPr>
        <a:xfrm>
          <a:off x="12024360" y="160020"/>
          <a:ext cx="1950720" cy="493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Relavent problem:</a:t>
          </a:r>
          <a:r>
            <a:rPr lang="en-US" sz="1100" baseline="0"/>
            <a:t> P1</a:t>
          </a:r>
        </a:p>
        <a:p>
          <a:endParaRPr lang="en-US" sz="1100" baseline="0"/>
        </a:p>
        <a:p>
          <a:r>
            <a:rPr lang="en-US" sz="1100"/>
            <a:t>Intention</a:t>
          </a:r>
          <a:r>
            <a:rPr lang="en-US" sz="1100" baseline="0"/>
            <a:t>: </a:t>
          </a:r>
          <a:r>
            <a:rPr lang="en-US" sz="1100"/>
            <a:t>checking the number of cases per year for each agency, compared to their Mean Time to Resolve to asses their effeciency in</a:t>
          </a:r>
          <a:r>
            <a:rPr lang="en-US" sz="1100" baseline="0"/>
            <a:t> resolving requests, and whether the number of cases handeled affected and resluted in a higher MTTR.  </a:t>
          </a:r>
          <a:endParaRPr lang="en-US" sz="1100"/>
        </a:p>
        <a:p>
          <a:endParaRPr lang="en-US" sz="1100"/>
        </a:p>
        <a:p>
          <a:r>
            <a:rPr lang="en-US" sz="1100"/>
            <a:t>Reason to exclude: could not find a relation between the two as the some had a high no of case per year but still managed to</a:t>
          </a:r>
          <a:r>
            <a:rPr lang="en-US" sz="1100" baseline="0"/>
            <a:t> resolve their cases faster then those with lower case numbers (had a lower MTTR).</a:t>
          </a:r>
        </a:p>
        <a:p>
          <a:endParaRPr lang="en-US" sz="1100" baseline="0"/>
        </a:p>
        <a:p>
          <a:r>
            <a:rPr lang="en-US" sz="1100" baseline="0"/>
            <a:t>Further data is needed to reach a cocnulsion about the performance if we want to consider the No. of cases handeled such as Request Priority, difficalty resolving the request, closing tickets prematurely...</a:t>
          </a:r>
        </a:p>
        <a:p>
          <a:endParaRPr lang="en-US" sz="1100"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dija Al-Hay" refreshedDate="45927.925239236109" createdVersion="8" refreshedVersion="8" minRefreshableVersion="3" recordCount="24" xr:uid="{689C2E15-27F0-4986-BE24-6D39FC64D4BD}">
  <cacheSource type="worksheet">
    <worksheetSource name="PR3__per_year_for_each_request_type9"/>
  </cacheSource>
  <cacheFields count="3">
    <cacheField name="year" numFmtId="0">
      <sharedItems containsSemiMixedTypes="0" containsString="0" containsNumber="1" containsInteger="1" minValue="2016" maxValue="2017" count="2">
        <n v="2016"/>
        <n v="2017"/>
      </sharedItems>
    </cacheField>
    <cacheField name="requesttype" numFmtId="0">
      <sharedItems count="12">
        <s v="Bulky Items"/>
        <s v="Dead Animal Removal"/>
        <s v="Electronic Waste"/>
        <s v="Feedback"/>
        <s v="Graffiti Removal"/>
        <s v="Homeless Encampment"/>
        <s v="Illegal Dumping Pickup"/>
        <s v="Metal/Household Appliances"/>
        <s v="Multiple Streetlight Issue"/>
        <s v="Other"/>
        <s v="Report Water Waste"/>
        <s v="Single Streetlight Issue"/>
      </sharedItems>
    </cacheField>
    <cacheField name="MTTR (days)" numFmtId="0">
      <sharedItems containsSemiMixedTypes="0" containsString="0" containsNumber="1" containsInteger="1" minValue="0" maxValue="10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dija Al-Hay" refreshedDate="45928.396141319441" createdVersion="8" refreshedVersion="8" minRefreshableVersion="3" recordCount="288" xr:uid="{2E375DEB-8A6A-4E9C-8B81-839E632D320B}">
  <cacheSource type="worksheet">
    <worksheetSource name="PR2_per_year_month_requesttype"/>
  </cacheSource>
  <cacheFields count="4">
    <cacheField name="year" numFmtId="0">
      <sharedItems containsSemiMixedTypes="0" containsString="0" containsNumber="1" containsInteger="1" minValue="2016" maxValue="2017" count="2">
        <n v="2016"/>
        <n v="2017"/>
      </sharedItems>
    </cacheField>
    <cacheField name="month" numFmtId="0">
      <sharedItems containsSemiMixedTypes="0" containsString="0" containsNumber="1" containsInteger="1" minValue="1" maxValue="12"/>
    </cacheField>
    <cacheField name="requesttype" numFmtId="0">
      <sharedItems count="12">
        <s v="Bulky Items"/>
        <s v="Dead Animal Removal"/>
        <s v="Electronic Waste"/>
        <s v="Feedback"/>
        <s v="Graffiti Removal"/>
        <s v="Homeless Encampment"/>
        <s v="Illegal Dumping Pickup"/>
        <s v="Metal/Household Appliances"/>
        <s v="Multiple Streetlight Issue"/>
        <s v="Other"/>
        <s v="Report Water Waste"/>
        <s v="Single Streetlight Issue"/>
      </sharedItems>
    </cacheField>
    <cacheField name="number_of_requests" numFmtId="0">
      <sharedItems containsSemiMixedTypes="0" containsString="0" containsNumber="1" containsInteger="1" minValue="15" maxValue="5559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dija Al-Hay" refreshedDate="45928.492139467591" createdVersion="8" refreshedVersion="8" minRefreshableVersion="3" recordCount="14" xr:uid="{CD3E7BBB-F217-4641-ABE5-540CCE09A272}">
  <cacheSource type="worksheet">
    <worksheetSource name="test3"/>
  </cacheSource>
  <cacheFields count="3">
    <cacheField name="year" numFmtId="0">
      <sharedItems containsSemiMixedTypes="0" containsString="0" containsNumber="1" containsInteger="1" minValue="2016" maxValue="2017" count="2">
        <n v="2016"/>
        <n v="2017"/>
      </sharedItems>
    </cacheField>
    <cacheField name="responsibleagency" numFmtId="0">
      <sharedItems count="8">
        <s v="BOS"/>
        <s v="BSL"/>
        <s v="BSS"/>
        <s v="ITA"/>
        <s v="LADWP"/>
        <s v="OCB"/>
        <s v="BOE"/>
        <s v="RAP"/>
      </sharedItems>
    </cacheField>
    <cacheField name="MTTR (days)" numFmtId="0">
      <sharedItems containsSemiMixedTypes="0" containsString="0" containsNumber="1" containsInteger="1" minValue="0" maxValue="2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3"/>
  </r>
  <r>
    <x v="0"/>
    <x v="1"/>
    <n v="0"/>
  </r>
  <r>
    <x v="0"/>
    <x v="2"/>
    <n v="3"/>
  </r>
  <r>
    <x v="0"/>
    <x v="3"/>
    <n v="107"/>
  </r>
  <r>
    <x v="0"/>
    <x v="4"/>
    <n v="3"/>
  </r>
  <r>
    <x v="0"/>
    <x v="5"/>
    <n v="33"/>
  </r>
  <r>
    <x v="0"/>
    <x v="6"/>
    <n v="6"/>
  </r>
  <r>
    <x v="0"/>
    <x v="7"/>
    <n v="3"/>
  </r>
  <r>
    <x v="0"/>
    <x v="8"/>
    <n v="30"/>
  </r>
  <r>
    <x v="0"/>
    <x v="9"/>
    <n v="14"/>
  </r>
  <r>
    <x v="0"/>
    <x v="10"/>
    <n v="0"/>
  </r>
  <r>
    <x v="0"/>
    <x v="11"/>
    <n v="11"/>
  </r>
  <r>
    <x v="1"/>
    <x v="0"/>
    <n v="3"/>
  </r>
  <r>
    <x v="1"/>
    <x v="1"/>
    <n v="0"/>
  </r>
  <r>
    <x v="1"/>
    <x v="2"/>
    <n v="2"/>
  </r>
  <r>
    <x v="1"/>
    <x v="3"/>
    <n v="100"/>
  </r>
  <r>
    <x v="1"/>
    <x v="4"/>
    <n v="2"/>
  </r>
  <r>
    <x v="1"/>
    <x v="5"/>
    <n v="46"/>
  </r>
  <r>
    <x v="1"/>
    <x v="6"/>
    <n v="7"/>
  </r>
  <r>
    <x v="1"/>
    <x v="7"/>
    <n v="3"/>
  </r>
  <r>
    <x v="1"/>
    <x v="8"/>
    <n v="49"/>
  </r>
  <r>
    <x v="1"/>
    <x v="9"/>
    <n v="3"/>
  </r>
  <r>
    <x v="1"/>
    <x v="10"/>
    <n v="0"/>
  </r>
  <r>
    <x v="1"/>
    <x v="11"/>
    <n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x v="0"/>
    <n v="1"/>
    <x v="0"/>
    <n v="29957"/>
  </r>
  <r>
    <x v="0"/>
    <n v="1"/>
    <x v="1"/>
    <n v="2140"/>
  </r>
  <r>
    <x v="0"/>
    <n v="1"/>
    <x v="2"/>
    <n v="3633"/>
  </r>
  <r>
    <x v="0"/>
    <n v="1"/>
    <x v="3"/>
    <n v="19"/>
  </r>
  <r>
    <x v="0"/>
    <n v="1"/>
    <x v="4"/>
    <n v="16402"/>
  </r>
  <r>
    <x v="0"/>
    <n v="1"/>
    <x v="5"/>
    <n v="438"/>
  </r>
  <r>
    <x v="0"/>
    <n v="1"/>
    <x v="6"/>
    <n v="4072"/>
  </r>
  <r>
    <x v="0"/>
    <n v="1"/>
    <x v="7"/>
    <n v="4216"/>
  </r>
  <r>
    <x v="0"/>
    <n v="1"/>
    <x v="8"/>
    <n v="452"/>
  </r>
  <r>
    <x v="0"/>
    <n v="1"/>
    <x v="9"/>
    <n v="598"/>
  </r>
  <r>
    <x v="0"/>
    <n v="1"/>
    <x v="10"/>
    <n v="42"/>
  </r>
  <r>
    <x v="0"/>
    <n v="1"/>
    <x v="11"/>
    <n v="1095"/>
  </r>
  <r>
    <x v="0"/>
    <n v="2"/>
    <x v="0"/>
    <n v="31472"/>
  </r>
  <r>
    <x v="0"/>
    <n v="2"/>
    <x v="1"/>
    <n v="1903"/>
  </r>
  <r>
    <x v="0"/>
    <n v="2"/>
    <x v="2"/>
    <n v="3543"/>
  </r>
  <r>
    <x v="0"/>
    <n v="2"/>
    <x v="3"/>
    <n v="25"/>
  </r>
  <r>
    <x v="0"/>
    <n v="2"/>
    <x v="4"/>
    <n v="22884"/>
  </r>
  <r>
    <x v="0"/>
    <n v="2"/>
    <x v="5"/>
    <n v="422"/>
  </r>
  <r>
    <x v="0"/>
    <n v="2"/>
    <x v="6"/>
    <n v="3904"/>
  </r>
  <r>
    <x v="0"/>
    <n v="2"/>
    <x v="7"/>
    <n v="4515"/>
  </r>
  <r>
    <x v="0"/>
    <n v="2"/>
    <x v="8"/>
    <n v="326"/>
  </r>
  <r>
    <x v="0"/>
    <n v="2"/>
    <x v="9"/>
    <n v="573"/>
  </r>
  <r>
    <x v="0"/>
    <n v="2"/>
    <x v="10"/>
    <n v="104"/>
  </r>
  <r>
    <x v="0"/>
    <n v="2"/>
    <x v="11"/>
    <n v="1233"/>
  </r>
  <r>
    <x v="0"/>
    <n v="3"/>
    <x v="0"/>
    <n v="35573"/>
  </r>
  <r>
    <x v="0"/>
    <n v="3"/>
    <x v="1"/>
    <n v="1989"/>
  </r>
  <r>
    <x v="0"/>
    <n v="3"/>
    <x v="2"/>
    <n v="3868"/>
  </r>
  <r>
    <x v="0"/>
    <n v="3"/>
    <x v="3"/>
    <n v="32"/>
  </r>
  <r>
    <x v="0"/>
    <n v="3"/>
    <x v="4"/>
    <n v="26400"/>
  </r>
  <r>
    <x v="0"/>
    <n v="3"/>
    <x v="5"/>
    <n v="720"/>
  </r>
  <r>
    <x v="0"/>
    <n v="3"/>
    <x v="6"/>
    <n v="4060"/>
  </r>
  <r>
    <x v="0"/>
    <n v="3"/>
    <x v="7"/>
    <n v="5215"/>
  </r>
  <r>
    <x v="0"/>
    <n v="3"/>
    <x v="8"/>
    <n v="346"/>
  </r>
  <r>
    <x v="0"/>
    <n v="3"/>
    <x v="9"/>
    <n v="541"/>
  </r>
  <r>
    <x v="0"/>
    <n v="3"/>
    <x v="10"/>
    <n v="112"/>
  </r>
  <r>
    <x v="0"/>
    <n v="3"/>
    <x v="11"/>
    <n v="1033"/>
  </r>
  <r>
    <x v="0"/>
    <n v="4"/>
    <x v="0"/>
    <n v="34335"/>
  </r>
  <r>
    <x v="0"/>
    <n v="4"/>
    <x v="1"/>
    <n v="2178"/>
  </r>
  <r>
    <x v="0"/>
    <n v="4"/>
    <x v="2"/>
    <n v="3437"/>
  </r>
  <r>
    <x v="0"/>
    <n v="4"/>
    <x v="3"/>
    <n v="42"/>
  </r>
  <r>
    <x v="0"/>
    <n v="4"/>
    <x v="4"/>
    <n v="22512"/>
  </r>
  <r>
    <x v="0"/>
    <n v="4"/>
    <x v="5"/>
    <n v="863"/>
  </r>
  <r>
    <x v="0"/>
    <n v="4"/>
    <x v="6"/>
    <n v="3834"/>
  </r>
  <r>
    <x v="0"/>
    <n v="4"/>
    <x v="7"/>
    <n v="5154"/>
  </r>
  <r>
    <x v="0"/>
    <n v="4"/>
    <x v="8"/>
    <n v="362"/>
  </r>
  <r>
    <x v="0"/>
    <n v="4"/>
    <x v="9"/>
    <n v="686"/>
  </r>
  <r>
    <x v="0"/>
    <n v="4"/>
    <x v="10"/>
    <n v="132"/>
  </r>
  <r>
    <x v="0"/>
    <n v="4"/>
    <x v="11"/>
    <n v="1125"/>
  </r>
  <r>
    <x v="0"/>
    <n v="5"/>
    <x v="0"/>
    <n v="37591"/>
  </r>
  <r>
    <x v="0"/>
    <n v="5"/>
    <x v="1"/>
    <n v="2459"/>
  </r>
  <r>
    <x v="0"/>
    <n v="5"/>
    <x v="2"/>
    <n v="3847"/>
  </r>
  <r>
    <x v="0"/>
    <n v="5"/>
    <x v="3"/>
    <n v="24"/>
  </r>
  <r>
    <x v="0"/>
    <n v="5"/>
    <x v="4"/>
    <n v="25936"/>
  </r>
  <r>
    <x v="0"/>
    <n v="5"/>
    <x v="5"/>
    <n v="1235"/>
  </r>
  <r>
    <x v="0"/>
    <n v="5"/>
    <x v="6"/>
    <n v="4167"/>
  </r>
  <r>
    <x v="0"/>
    <n v="5"/>
    <x v="7"/>
    <n v="5314"/>
  </r>
  <r>
    <x v="0"/>
    <n v="5"/>
    <x v="8"/>
    <n v="234"/>
  </r>
  <r>
    <x v="0"/>
    <n v="5"/>
    <x v="9"/>
    <n v="620"/>
  </r>
  <r>
    <x v="0"/>
    <n v="5"/>
    <x v="10"/>
    <n v="177"/>
  </r>
  <r>
    <x v="0"/>
    <n v="5"/>
    <x v="11"/>
    <n v="789"/>
  </r>
  <r>
    <x v="0"/>
    <n v="6"/>
    <x v="0"/>
    <n v="40653"/>
  </r>
  <r>
    <x v="0"/>
    <n v="6"/>
    <x v="1"/>
    <n v="2615"/>
  </r>
  <r>
    <x v="0"/>
    <n v="6"/>
    <x v="2"/>
    <n v="4033"/>
  </r>
  <r>
    <x v="0"/>
    <n v="6"/>
    <x v="3"/>
    <n v="34"/>
  </r>
  <r>
    <x v="0"/>
    <n v="6"/>
    <x v="4"/>
    <n v="24935"/>
  </r>
  <r>
    <x v="0"/>
    <n v="6"/>
    <x v="5"/>
    <n v="1304"/>
  </r>
  <r>
    <x v="0"/>
    <n v="6"/>
    <x v="6"/>
    <n v="4347"/>
  </r>
  <r>
    <x v="0"/>
    <n v="6"/>
    <x v="7"/>
    <n v="6158"/>
  </r>
  <r>
    <x v="0"/>
    <n v="6"/>
    <x v="8"/>
    <n v="299"/>
  </r>
  <r>
    <x v="0"/>
    <n v="6"/>
    <x v="9"/>
    <n v="890"/>
  </r>
  <r>
    <x v="0"/>
    <n v="6"/>
    <x v="10"/>
    <n v="219"/>
  </r>
  <r>
    <x v="0"/>
    <n v="6"/>
    <x v="11"/>
    <n v="821"/>
  </r>
  <r>
    <x v="0"/>
    <n v="7"/>
    <x v="0"/>
    <n v="41026"/>
  </r>
  <r>
    <x v="0"/>
    <n v="7"/>
    <x v="1"/>
    <n v="2452"/>
  </r>
  <r>
    <x v="0"/>
    <n v="7"/>
    <x v="2"/>
    <n v="3773"/>
  </r>
  <r>
    <x v="0"/>
    <n v="7"/>
    <x v="3"/>
    <n v="24"/>
  </r>
  <r>
    <x v="0"/>
    <n v="7"/>
    <x v="4"/>
    <n v="30095"/>
  </r>
  <r>
    <x v="0"/>
    <n v="7"/>
    <x v="5"/>
    <n v="1500"/>
  </r>
  <r>
    <x v="0"/>
    <n v="7"/>
    <x v="6"/>
    <n v="4429"/>
  </r>
  <r>
    <x v="0"/>
    <n v="7"/>
    <x v="7"/>
    <n v="6263"/>
  </r>
  <r>
    <x v="0"/>
    <n v="7"/>
    <x v="8"/>
    <n v="277"/>
  </r>
  <r>
    <x v="0"/>
    <n v="7"/>
    <x v="9"/>
    <n v="992"/>
  </r>
  <r>
    <x v="0"/>
    <n v="7"/>
    <x v="10"/>
    <n v="158"/>
  </r>
  <r>
    <x v="0"/>
    <n v="7"/>
    <x v="11"/>
    <n v="848"/>
  </r>
  <r>
    <x v="0"/>
    <n v="8"/>
    <x v="0"/>
    <n v="46356"/>
  </r>
  <r>
    <x v="0"/>
    <n v="8"/>
    <x v="1"/>
    <n v="2426"/>
  </r>
  <r>
    <x v="0"/>
    <n v="8"/>
    <x v="2"/>
    <n v="4161"/>
  </r>
  <r>
    <x v="0"/>
    <n v="8"/>
    <x v="3"/>
    <n v="33"/>
  </r>
  <r>
    <x v="0"/>
    <n v="8"/>
    <x v="4"/>
    <n v="23585"/>
  </r>
  <r>
    <x v="0"/>
    <n v="8"/>
    <x v="5"/>
    <n v="1560"/>
  </r>
  <r>
    <x v="0"/>
    <n v="8"/>
    <x v="6"/>
    <n v="5987"/>
  </r>
  <r>
    <x v="0"/>
    <n v="8"/>
    <x v="7"/>
    <n v="7060"/>
  </r>
  <r>
    <x v="0"/>
    <n v="8"/>
    <x v="8"/>
    <n v="353"/>
  </r>
  <r>
    <x v="0"/>
    <n v="8"/>
    <x v="9"/>
    <n v="1046"/>
  </r>
  <r>
    <x v="0"/>
    <n v="8"/>
    <x v="10"/>
    <n v="170"/>
  </r>
  <r>
    <x v="0"/>
    <n v="8"/>
    <x v="11"/>
    <n v="1057"/>
  </r>
  <r>
    <x v="0"/>
    <n v="9"/>
    <x v="0"/>
    <n v="38617"/>
  </r>
  <r>
    <x v="0"/>
    <n v="9"/>
    <x v="1"/>
    <n v="2419"/>
  </r>
  <r>
    <x v="0"/>
    <n v="9"/>
    <x v="2"/>
    <n v="3605"/>
  </r>
  <r>
    <x v="0"/>
    <n v="9"/>
    <x v="3"/>
    <n v="56"/>
  </r>
  <r>
    <x v="0"/>
    <n v="9"/>
    <x v="4"/>
    <n v="28242"/>
  </r>
  <r>
    <x v="0"/>
    <n v="9"/>
    <x v="5"/>
    <n v="2015"/>
  </r>
  <r>
    <x v="0"/>
    <n v="9"/>
    <x v="6"/>
    <n v="4945"/>
  </r>
  <r>
    <x v="0"/>
    <n v="9"/>
    <x v="7"/>
    <n v="5824"/>
  </r>
  <r>
    <x v="0"/>
    <n v="9"/>
    <x v="8"/>
    <n v="313"/>
  </r>
  <r>
    <x v="0"/>
    <n v="9"/>
    <x v="9"/>
    <n v="1159"/>
  </r>
  <r>
    <x v="0"/>
    <n v="9"/>
    <x v="10"/>
    <n v="174"/>
  </r>
  <r>
    <x v="0"/>
    <n v="9"/>
    <x v="11"/>
    <n v="888"/>
  </r>
  <r>
    <x v="0"/>
    <n v="10"/>
    <x v="0"/>
    <n v="35528"/>
  </r>
  <r>
    <x v="0"/>
    <n v="10"/>
    <x v="1"/>
    <n v="2323"/>
  </r>
  <r>
    <x v="0"/>
    <n v="10"/>
    <x v="2"/>
    <n v="3391"/>
  </r>
  <r>
    <x v="0"/>
    <n v="10"/>
    <x v="3"/>
    <n v="15"/>
  </r>
  <r>
    <x v="0"/>
    <n v="10"/>
    <x v="4"/>
    <n v="23580"/>
  </r>
  <r>
    <x v="0"/>
    <n v="10"/>
    <x v="5"/>
    <n v="1727"/>
  </r>
  <r>
    <x v="0"/>
    <n v="10"/>
    <x v="6"/>
    <n v="4671"/>
  </r>
  <r>
    <x v="0"/>
    <n v="10"/>
    <x v="7"/>
    <n v="5713"/>
  </r>
  <r>
    <x v="0"/>
    <n v="10"/>
    <x v="8"/>
    <n v="294"/>
  </r>
  <r>
    <x v="0"/>
    <n v="10"/>
    <x v="9"/>
    <n v="1088"/>
  </r>
  <r>
    <x v="0"/>
    <n v="10"/>
    <x v="10"/>
    <n v="153"/>
  </r>
  <r>
    <x v="0"/>
    <n v="10"/>
    <x v="11"/>
    <n v="972"/>
  </r>
  <r>
    <x v="0"/>
    <n v="11"/>
    <x v="0"/>
    <n v="34835"/>
  </r>
  <r>
    <x v="0"/>
    <n v="11"/>
    <x v="1"/>
    <n v="1901"/>
  </r>
  <r>
    <x v="0"/>
    <n v="11"/>
    <x v="2"/>
    <n v="3540"/>
  </r>
  <r>
    <x v="0"/>
    <n v="11"/>
    <x v="3"/>
    <n v="15"/>
  </r>
  <r>
    <x v="0"/>
    <n v="11"/>
    <x v="4"/>
    <n v="24153"/>
  </r>
  <r>
    <x v="0"/>
    <n v="11"/>
    <x v="5"/>
    <n v="1510"/>
  </r>
  <r>
    <x v="0"/>
    <n v="11"/>
    <x v="6"/>
    <n v="4378"/>
  </r>
  <r>
    <x v="0"/>
    <n v="11"/>
    <x v="7"/>
    <n v="5600"/>
  </r>
  <r>
    <x v="0"/>
    <n v="11"/>
    <x v="8"/>
    <n v="388"/>
  </r>
  <r>
    <x v="0"/>
    <n v="11"/>
    <x v="9"/>
    <n v="737"/>
  </r>
  <r>
    <x v="0"/>
    <n v="11"/>
    <x v="10"/>
    <n v="98"/>
  </r>
  <r>
    <x v="0"/>
    <n v="11"/>
    <x v="11"/>
    <n v="1144"/>
  </r>
  <r>
    <x v="0"/>
    <n v="12"/>
    <x v="0"/>
    <n v="34370"/>
  </r>
  <r>
    <x v="0"/>
    <n v="12"/>
    <x v="1"/>
    <n v="1838"/>
  </r>
  <r>
    <x v="0"/>
    <n v="12"/>
    <x v="2"/>
    <n v="3914"/>
  </r>
  <r>
    <x v="0"/>
    <n v="12"/>
    <x v="3"/>
    <n v="23"/>
  </r>
  <r>
    <x v="0"/>
    <n v="12"/>
    <x v="4"/>
    <n v="26705"/>
  </r>
  <r>
    <x v="0"/>
    <n v="12"/>
    <x v="5"/>
    <n v="1512"/>
  </r>
  <r>
    <x v="0"/>
    <n v="12"/>
    <x v="6"/>
    <n v="4151"/>
  </r>
  <r>
    <x v="0"/>
    <n v="12"/>
    <x v="7"/>
    <n v="5508"/>
  </r>
  <r>
    <x v="0"/>
    <n v="12"/>
    <x v="8"/>
    <n v="440"/>
  </r>
  <r>
    <x v="0"/>
    <n v="12"/>
    <x v="9"/>
    <n v="695"/>
  </r>
  <r>
    <x v="0"/>
    <n v="12"/>
    <x v="10"/>
    <n v="87"/>
  </r>
  <r>
    <x v="0"/>
    <n v="12"/>
    <x v="11"/>
    <n v="1112"/>
  </r>
  <r>
    <x v="1"/>
    <n v="1"/>
    <x v="0"/>
    <n v="38676"/>
  </r>
  <r>
    <x v="1"/>
    <n v="1"/>
    <x v="1"/>
    <n v="1907"/>
  </r>
  <r>
    <x v="1"/>
    <n v="1"/>
    <x v="2"/>
    <n v="3767"/>
  </r>
  <r>
    <x v="1"/>
    <n v="1"/>
    <x v="3"/>
    <n v="24"/>
  </r>
  <r>
    <x v="1"/>
    <n v="1"/>
    <x v="4"/>
    <n v="27601"/>
  </r>
  <r>
    <x v="1"/>
    <n v="1"/>
    <x v="5"/>
    <n v="1729"/>
  </r>
  <r>
    <x v="1"/>
    <n v="1"/>
    <x v="6"/>
    <n v="5425"/>
  </r>
  <r>
    <x v="1"/>
    <n v="1"/>
    <x v="7"/>
    <n v="5602"/>
  </r>
  <r>
    <x v="1"/>
    <n v="1"/>
    <x v="8"/>
    <n v="505"/>
  </r>
  <r>
    <x v="1"/>
    <n v="1"/>
    <x v="9"/>
    <n v="1028"/>
  </r>
  <r>
    <x v="1"/>
    <n v="1"/>
    <x v="10"/>
    <n v="114"/>
  </r>
  <r>
    <x v="1"/>
    <n v="1"/>
    <x v="11"/>
    <n v="1249"/>
  </r>
  <r>
    <x v="1"/>
    <n v="2"/>
    <x v="0"/>
    <n v="32815"/>
  </r>
  <r>
    <x v="1"/>
    <n v="2"/>
    <x v="1"/>
    <n v="1640"/>
  </r>
  <r>
    <x v="1"/>
    <n v="2"/>
    <x v="2"/>
    <n v="3093"/>
  </r>
  <r>
    <x v="1"/>
    <n v="2"/>
    <x v="3"/>
    <n v="22"/>
  </r>
  <r>
    <x v="1"/>
    <n v="2"/>
    <x v="4"/>
    <n v="28292"/>
  </r>
  <r>
    <x v="1"/>
    <n v="2"/>
    <x v="5"/>
    <n v="1512"/>
  </r>
  <r>
    <x v="1"/>
    <n v="2"/>
    <x v="6"/>
    <n v="4281"/>
  </r>
  <r>
    <x v="1"/>
    <n v="2"/>
    <x v="7"/>
    <n v="4949"/>
  </r>
  <r>
    <x v="1"/>
    <n v="2"/>
    <x v="8"/>
    <n v="440"/>
  </r>
  <r>
    <x v="1"/>
    <n v="2"/>
    <x v="9"/>
    <n v="848"/>
  </r>
  <r>
    <x v="1"/>
    <n v="2"/>
    <x v="10"/>
    <n v="69"/>
  </r>
  <r>
    <x v="1"/>
    <n v="2"/>
    <x v="11"/>
    <n v="1121"/>
  </r>
  <r>
    <x v="1"/>
    <n v="3"/>
    <x v="0"/>
    <n v="45571"/>
  </r>
  <r>
    <x v="1"/>
    <n v="3"/>
    <x v="1"/>
    <n v="1999"/>
  </r>
  <r>
    <x v="1"/>
    <n v="3"/>
    <x v="2"/>
    <n v="4259"/>
  </r>
  <r>
    <x v="1"/>
    <n v="3"/>
    <x v="3"/>
    <n v="24"/>
  </r>
  <r>
    <x v="1"/>
    <n v="3"/>
    <x v="4"/>
    <n v="31797"/>
  </r>
  <r>
    <x v="1"/>
    <n v="3"/>
    <x v="5"/>
    <n v="2105"/>
  </r>
  <r>
    <x v="1"/>
    <n v="3"/>
    <x v="6"/>
    <n v="5164"/>
  </r>
  <r>
    <x v="1"/>
    <n v="3"/>
    <x v="7"/>
    <n v="7271"/>
  </r>
  <r>
    <x v="1"/>
    <n v="3"/>
    <x v="8"/>
    <n v="516"/>
  </r>
  <r>
    <x v="1"/>
    <n v="3"/>
    <x v="9"/>
    <n v="1074"/>
  </r>
  <r>
    <x v="1"/>
    <n v="3"/>
    <x v="10"/>
    <n v="116"/>
  </r>
  <r>
    <x v="1"/>
    <n v="3"/>
    <x v="11"/>
    <n v="1120"/>
  </r>
  <r>
    <x v="1"/>
    <n v="4"/>
    <x v="0"/>
    <n v="41374"/>
  </r>
  <r>
    <x v="1"/>
    <n v="4"/>
    <x v="1"/>
    <n v="2275"/>
  </r>
  <r>
    <x v="1"/>
    <n v="4"/>
    <x v="2"/>
    <n v="4049"/>
  </r>
  <r>
    <x v="1"/>
    <n v="4"/>
    <x v="3"/>
    <n v="21"/>
  </r>
  <r>
    <x v="1"/>
    <n v="4"/>
    <x v="4"/>
    <n v="25724"/>
  </r>
  <r>
    <x v="1"/>
    <n v="4"/>
    <x v="5"/>
    <n v="1936"/>
  </r>
  <r>
    <x v="1"/>
    <n v="4"/>
    <x v="6"/>
    <n v="5247"/>
  </r>
  <r>
    <x v="1"/>
    <n v="4"/>
    <x v="7"/>
    <n v="6645"/>
  </r>
  <r>
    <x v="1"/>
    <n v="4"/>
    <x v="8"/>
    <n v="481"/>
  </r>
  <r>
    <x v="1"/>
    <n v="4"/>
    <x v="9"/>
    <n v="1130"/>
  </r>
  <r>
    <x v="1"/>
    <n v="4"/>
    <x v="10"/>
    <n v="98"/>
  </r>
  <r>
    <x v="1"/>
    <n v="4"/>
    <x v="11"/>
    <n v="885"/>
  </r>
  <r>
    <x v="1"/>
    <n v="5"/>
    <x v="0"/>
    <n v="45611"/>
  </r>
  <r>
    <x v="1"/>
    <n v="5"/>
    <x v="1"/>
    <n v="2552"/>
  </r>
  <r>
    <x v="1"/>
    <n v="5"/>
    <x v="2"/>
    <n v="4084"/>
  </r>
  <r>
    <x v="1"/>
    <n v="5"/>
    <x v="3"/>
    <n v="30"/>
  </r>
  <r>
    <x v="1"/>
    <n v="5"/>
    <x v="4"/>
    <n v="28510"/>
  </r>
  <r>
    <x v="1"/>
    <n v="5"/>
    <x v="5"/>
    <n v="2249"/>
  </r>
  <r>
    <x v="1"/>
    <n v="5"/>
    <x v="6"/>
    <n v="5904"/>
  </r>
  <r>
    <x v="1"/>
    <n v="5"/>
    <x v="7"/>
    <n v="7832"/>
  </r>
  <r>
    <x v="1"/>
    <n v="5"/>
    <x v="8"/>
    <n v="592"/>
  </r>
  <r>
    <x v="1"/>
    <n v="5"/>
    <x v="9"/>
    <n v="1183"/>
  </r>
  <r>
    <x v="1"/>
    <n v="5"/>
    <x v="10"/>
    <n v="84"/>
  </r>
  <r>
    <x v="1"/>
    <n v="5"/>
    <x v="11"/>
    <n v="1059"/>
  </r>
  <r>
    <x v="1"/>
    <n v="6"/>
    <x v="0"/>
    <n v="48232"/>
  </r>
  <r>
    <x v="1"/>
    <n v="6"/>
    <x v="1"/>
    <n v="2535"/>
  </r>
  <r>
    <x v="1"/>
    <n v="6"/>
    <x v="2"/>
    <n v="4128"/>
  </r>
  <r>
    <x v="1"/>
    <n v="6"/>
    <x v="3"/>
    <n v="28"/>
  </r>
  <r>
    <x v="1"/>
    <n v="6"/>
    <x v="4"/>
    <n v="26972"/>
  </r>
  <r>
    <x v="1"/>
    <n v="6"/>
    <x v="5"/>
    <n v="2387"/>
  </r>
  <r>
    <x v="1"/>
    <n v="6"/>
    <x v="6"/>
    <n v="6317"/>
  </r>
  <r>
    <x v="1"/>
    <n v="6"/>
    <x v="7"/>
    <n v="8295"/>
  </r>
  <r>
    <x v="1"/>
    <n v="6"/>
    <x v="8"/>
    <n v="583"/>
  </r>
  <r>
    <x v="1"/>
    <n v="6"/>
    <x v="9"/>
    <n v="1167"/>
  </r>
  <r>
    <x v="1"/>
    <n v="6"/>
    <x v="10"/>
    <n v="107"/>
  </r>
  <r>
    <x v="1"/>
    <n v="6"/>
    <x v="11"/>
    <n v="1116"/>
  </r>
  <r>
    <x v="1"/>
    <n v="7"/>
    <x v="0"/>
    <n v="53652"/>
  </r>
  <r>
    <x v="1"/>
    <n v="7"/>
    <x v="1"/>
    <n v="2615"/>
  </r>
  <r>
    <x v="1"/>
    <n v="7"/>
    <x v="2"/>
    <n v="4418"/>
  </r>
  <r>
    <x v="1"/>
    <n v="7"/>
    <x v="3"/>
    <n v="25"/>
  </r>
  <r>
    <x v="1"/>
    <n v="7"/>
    <x v="4"/>
    <n v="24523"/>
  </r>
  <r>
    <x v="1"/>
    <n v="7"/>
    <x v="5"/>
    <n v="2477"/>
  </r>
  <r>
    <x v="1"/>
    <n v="7"/>
    <x v="6"/>
    <n v="7528"/>
  </r>
  <r>
    <x v="1"/>
    <n v="7"/>
    <x v="7"/>
    <n v="9055"/>
  </r>
  <r>
    <x v="1"/>
    <n v="7"/>
    <x v="8"/>
    <n v="480"/>
  </r>
  <r>
    <x v="1"/>
    <n v="7"/>
    <x v="9"/>
    <n v="1087"/>
  </r>
  <r>
    <x v="1"/>
    <n v="7"/>
    <x v="10"/>
    <n v="153"/>
  </r>
  <r>
    <x v="1"/>
    <n v="7"/>
    <x v="11"/>
    <n v="1104"/>
  </r>
  <r>
    <x v="1"/>
    <n v="8"/>
    <x v="0"/>
    <n v="55592"/>
  </r>
  <r>
    <x v="1"/>
    <n v="8"/>
    <x v="1"/>
    <n v="2522"/>
  </r>
  <r>
    <x v="1"/>
    <n v="8"/>
    <x v="2"/>
    <n v="4471"/>
  </r>
  <r>
    <x v="1"/>
    <n v="8"/>
    <x v="3"/>
    <n v="30"/>
  </r>
  <r>
    <x v="1"/>
    <n v="8"/>
    <x v="4"/>
    <n v="30623"/>
  </r>
  <r>
    <x v="1"/>
    <n v="8"/>
    <x v="5"/>
    <n v="2715"/>
  </r>
  <r>
    <x v="1"/>
    <n v="8"/>
    <x v="6"/>
    <n v="10091"/>
  </r>
  <r>
    <x v="1"/>
    <n v="8"/>
    <x v="7"/>
    <n v="9083"/>
  </r>
  <r>
    <x v="1"/>
    <n v="8"/>
    <x v="8"/>
    <n v="462"/>
  </r>
  <r>
    <x v="1"/>
    <n v="8"/>
    <x v="9"/>
    <n v="1314"/>
  </r>
  <r>
    <x v="1"/>
    <n v="8"/>
    <x v="10"/>
    <n v="118"/>
  </r>
  <r>
    <x v="1"/>
    <n v="8"/>
    <x v="11"/>
    <n v="1118"/>
  </r>
  <r>
    <x v="1"/>
    <n v="9"/>
    <x v="0"/>
    <n v="49072"/>
  </r>
  <r>
    <x v="1"/>
    <n v="9"/>
    <x v="1"/>
    <n v="2450"/>
  </r>
  <r>
    <x v="1"/>
    <n v="9"/>
    <x v="2"/>
    <n v="3918"/>
  </r>
  <r>
    <x v="1"/>
    <n v="9"/>
    <x v="3"/>
    <n v="15"/>
  </r>
  <r>
    <x v="1"/>
    <n v="9"/>
    <x v="4"/>
    <n v="26632"/>
  </r>
  <r>
    <x v="1"/>
    <n v="9"/>
    <x v="5"/>
    <n v="2835"/>
  </r>
  <r>
    <x v="1"/>
    <n v="9"/>
    <x v="6"/>
    <n v="8883"/>
  </r>
  <r>
    <x v="1"/>
    <n v="9"/>
    <x v="7"/>
    <n v="8490"/>
  </r>
  <r>
    <x v="1"/>
    <n v="9"/>
    <x v="8"/>
    <n v="575"/>
  </r>
  <r>
    <x v="1"/>
    <n v="9"/>
    <x v="9"/>
    <n v="1157"/>
  </r>
  <r>
    <x v="1"/>
    <n v="9"/>
    <x v="10"/>
    <n v="111"/>
  </r>
  <r>
    <x v="1"/>
    <n v="9"/>
    <x v="11"/>
    <n v="1122"/>
  </r>
  <r>
    <x v="1"/>
    <n v="10"/>
    <x v="0"/>
    <n v="45784"/>
  </r>
  <r>
    <x v="1"/>
    <n v="10"/>
    <x v="1"/>
    <n v="2630"/>
  </r>
  <r>
    <x v="1"/>
    <n v="10"/>
    <x v="2"/>
    <n v="3641"/>
  </r>
  <r>
    <x v="1"/>
    <n v="10"/>
    <x v="3"/>
    <n v="26"/>
  </r>
  <r>
    <x v="1"/>
    <n v="10"/>
    <x v="4"/>
    <n v="25739"/>
  </r>
  <r>
    <x v="1"/>
    <n v="10"/>
    <x v="5"/>
    <n v="2646"/>
  </r>
  <r>
    <x v="1"/>
    <n v="10"/>
    <x v="6"/>
    <n v="9328"/>
  </r>
  <r>
    <x v="1"/>
    <n v="10"/>
    <x v="7"/>
    <n v="7699"/>
  </r>
  <r>
    <x v="1"/>
    <n v="10"/>
    <x v="8"/>
    <n v="454"/>
  </r>
  <r>
    <x v="1"/>
    <n v="10"/>
    <x v="9"/>
    <n v="1192"/>
  </r>
  <r>
    <x v="1"/>
    <n v="10"/>
    <x v="10"/>
    <n v="133"/>
  </r>
  <r>
    <x v="1"/>
    <n v="10"/>
    <x v="11"/>
    <n v="1214"/>
  </r>
  <r>
    <x v="1"/>
    <n v="11"/>
    <x v="0"/>
    <n v="41956"/>
  </r>
  <r>
    <x v="1"/>
    <n v="11"/>
    <x v="1"/>
    <n v="2146"/>
  </r>
  <r>
    <x v="1"/>
    <n v="11"/>
    <x v="2"/>
    <n v="3728"/>
  </r>
  <r>
    <x v="1"/>
    <n v="11"/>
    <x v="3"/>
    <n v="28"/>
  </r>
  <r>
    <x v="1"/>
    <n v="11"/>
    <x v="4"/>
    <n v="21568"/>
  </r>
  <r>
    <x v="1"/>
    <n v="11"/>
    <x v="5"/>
    <n v="2435"/>
  </r>
  <r>
    <x v="1"/>
    <n v="11"/>
    <x v="6"/>
    <n v="8704"/>
  </r>
  <r>
    <x v="1"/>
    <n v="11"/>
    <x v="7"/>
    <n v="7255"/>
  </r>
  <r>
    <x v="1"/>
    <n v="11"/>
    <x v="8"/>
    <n v="444"/>
  </r>
  <r>
    <x v="1"/>
    <n v="11"/>
    <x v="9"/>
    <n v="981"/>
  </r>
  <r>
    <x v="1"/>
    <n v="11"/>
    <x v="10"/>
    <n v="132"/>
  </r>
  <r>
    <x v="1"/>
    <n v="11"/>
    <x v="11"/>
    <n v="1006"/>
  </r>
  <r>
    <x v="1"/>
    <n v="12"/>
    <x v="0"/>
    <n v="42136"/>
  </r>
  <r>
    <x v="1"/>
    <n v="12"/>
    <x v="1"/>
    <n v="1853"/>
  </r>
  <r>
    <x v="1"/>
    <n v="12"/>
    <x v="2"/>
    <n v="3747"/>
  </r>
  <r>
    <x v="1"/>
    <n v="12"/>
    <x v="3"/>
    <n v="23"/>
  </r>
  <r>
    <x v="1"/>
    <n v="12"/>
    <x v="4"/>
    <n v="23580"/>
  </r>
  <r>
    <x v="1"/>
    <n v="12"/>
    <x v="5"/>
    <n v="2005"/>
  </r>
  <r>
    <x v="1"/>
    <n v="12"/>
    <x v="6"/>
    <n v="6846"/>
  </r>
  <r>
    <x v="1"/>
    <n v="12"/>
    <x v="7"/>
    <n v="6679"/>
  </r>
  <r>
    <x v="1"/>
    <n v="12"/>
    <x v="8"/>
    <n v="460"/>
  </r>
  <r>
    <x v="1"/>
    <n v="12"/>
    <x v="9"/>
    <n v="903"/>
  </r>
  <r>
    <x v="1"/>
    <n v="12"/>
    <x v="10"/>
    <n v="144"/>
  </r>
  <r>
    <x v="1"/>
    <n v="12"/>
    <x v="11"/>
    <n v="93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n v="3"/>
  </r>
  <r>
    <x v="0"/>
    <x v="1"/>
    <n v="16"/>
  </r>
  <r>
    <x v="0"/>
    <x v="2"/>
    <n v="84"/>
  </r>
  <r>
    <x v="0"/>
    <x v="3"/>
    <n v="0"/>
  </r>
  <r>
    <x v="0"/>
    <x v="4"/>
    <n v="0"/>
  </r>
  <r>
    <x v="0"/>
    <x v="5"/>
    <n v="3"/>
  </r>
  <r>
    <x v="1"/>
    <x v="6"/>
    <n v="2"/>
  </r>
  <r>
    <x v="1"/>
    <x v="0"/>
    <n v="4"/>
  </r>
  <r>
    <x v="1"/>
    <x v="1"/>
    <n v="24"/>
  </r>
  <r>
    <x v="1"/>
    <x v="2"/>
    <n v="269"/>
  </r>
  <r>
    <x v="1"/>
    <x v="3"/>
    <n v="0"/>
  </r>
  <r>
    <x v="1"/>
    <x v="4"/>
    <n v="0"/>
  </r>
  <r>
    <x v="1"/>
    <x v="5"/>
    <n v="2"/>
  </r>
  <r>
    <x v="1"/>
    <x v="7"/>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135C9C-4774-4A34-B1D6-C3281501AA5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13" firstHeaderRow="1" firstDataRow="2" firstDataCol="1"/>
  <pivotFields count="3">
    <pivotField axis="axisCol" showAll="0">
      <items count="3">
        <item x="0"/>
        <item x="1"/>
        <item t="default"/>
      </items>
    </pivotField>
    <pivotField axis="axisRow" showAll="0">
      <items count="9">
        <item x="6"/>
        <item x="0"/>
        <item x="1"/>
        <item x="2"/>
        <item x="3"/>
        <item x="4"/>
        <item x="5"/>
        <item x="7"/>
        <item t="default"/>
      </items>
    </pivotField>
    <pivotField dataField="1" showAll="0"/>
  </pivotFields>
  <rowFields count="1">
    <field x="1"/>
  </rowFields>
  <rowItems count="9">
    <i>
      <x/>
    </i>
    <i>
      <x v="1"/>
    </i>
    <i>
      <x v="2"/>
    </i>
    <i>
      <x v="3"/>
    </i>
    <i>
      <x v="4"/>
    </i>
    <i>
      <x v="5"/>
    </i>
    <i>
      <x v="6"/>
    </i>
    <i>
      <x v="7"/>
    </i>
    <i t="grand">
      <x/>
    </i>
  </rowItems>
  <colFields count="1">
    <field x="0"/>
  </colFields>
  <colItems count="3">
    <i>
      <x/>
    </i>
    <i>
      <x v="1"/>
    </i>
    <i t="grand">
      <x/>
    </i>
  </colItems>
  <dataFields count="1">
    <dataField name="Sum of MTTR (days)" fld="2" baseField="1" baseItem="0"/>
  </dataFields>
  <chartFormats count="2">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690DCC-DE7B-47CF-B45E-8169F1B6C6FD}"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D18" firstHeaderRow="1" firstDataRow="2" firstDataCol="1"/>
  <pivotFields count="3">
    <pivotField axis="axisCol" showAll="0">
      <items count="3">
        <item x="0"/>
        <item x="1"/>
        <item t="default"/>
      </items>
    </pivotField>
    <pivotField axis="axisRow" showAll="0" sortType="descending">
      <items count="9">
        <item x="6"/>
        <item x="0"/>
        <item x="1"/>
        <item x="2"/>
        <item x="3"/>
        <item x="4"/>
        <item x="5"/>
        <item x="7"/>
        <item t="default"/>
      </items>
      <autoSortScope>
        <pivotArea dataOnly="0" outline="0" fieldPosition="0">
          <references count="2">
            <reference field="4294967294" count="1" selected="0">
              <x v="0"/>
            </reference>
            <reference field="0" count="1" selected="0">
              <x v="0"/>
            </reference>
          </references>
        </pivotArea>
      </autoSortScope>
    </pivotField>
    <pivotField dataField="1" showAll="0"/>
  </pivotFields>
  <rowFields count="1">
    <field x="1"/>
  </rowFields>
  <rowItems count="9">
    <i>
      <x v="3"/>
    </i>
    <i>
      <x v="2"/>
    </i>
    <i>
      <x v="1"/>
    </i>
    <i>
      <x v="6"/>
    </i>
    <i>
      <x v="5"/>
    </i>
    <i>
      <x v="7"/>
    </i>
    <i>
      <x/>
    </i>
    <i>
      <x v="4"/>
    </i>
    <i t="grand">
      <x/>
    </i>
  </rowItems>
  <colFields count="1">
    <field x="0"/>
  </colFields>
  <colItems count="3">
    <i>
      <x/>
    </i>
    <i>
      <x v="1"/>
    </i>
    <i t="grand">
      <x/>
    </i>
  </colItems>
  <dataFields count="1">
    <dataField name="Sum of MTTR (days)" fld="2" baseField="1" baseItem="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503AC2-6A4C-4341-8207-DB9C8FE92DC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quest type">
  <location ref="A29:D43" firstHeaderRow="1" firstDataRow="2" firstDataCol="1"/>
  <pivotFields count="4">
    <pivotField axis="axisCol" showAll="0">
      <items count="3">
        <item x="0"/>
        <item x="1"/>
        <item t="default"/>
      </items>
    </pivotField>
    <pivotField showAll="0"/>
    <pivotField axis="axisRow" showAll="0" sortType="descending">
      <items count="13">
        <item x="0"/>
        <item x="1"/>
        <item x="2"/>
        <item x="3"/>
        <item x="4"/>
        <item x="5"/>
        <item x="6"/>
        <item x="7"/>
        <item x="8"/>
        <item x="9"/>
        <item x="10"/>
        <item x="11"/>
        <item t="default"/>
      </items>
      <autoSortScope>
        <pivotArea dataOnly="0" outline="0" fieldPosition="0">
          <references count="2">
            <reference field="4294967294" count="1" selected="0">
              <x v="0"/>
            </reference>
            <reference field="0" count="1" selected="0">
              <x v="0"/>
            </reference>
          </references>
        </pivotArea>
      </autoSortScope>
    </pivotField>
    <pivotField dataField="1" showAll="0"/>
  </pivotFields>
  <rowFields count="1">
    <field x="2"/>
  </rowFields>
  <rowItems count="13">
    <i>
      <x/>
    </i>
    <i>
      <x v="4"/>
    </i>
    <i>
      <x v="7"/>
    </i>
    <i>
      <x v="6"/>
    </i>
    <i>
      <x v="2"/>
    </i>
    <i>
      <x v="1"/>
    </i>
    <i>
      <x v="5"/>
    </i>
    <i>
      <x v="11"/>
    </i>
    <i>
      <x v="9"/>
    </i>
    <i>
      <x v="8"/>
    </i>
    <i>
      <x v="10"/>
    </i>
    <i>
      <x v="3"/>
    </i>
    <i t="grand">
      <x/>
    </i>
  </rowItems>
  <colFields count="1">
    <field x="0"/>
  </colFields>
  <colItems count="3">
    <i>
      <x/>
    </i>
    <i>
      <x v="1"/>
    </i>
    <i t="grand">
      <x/>
    </i>
  </colItems>
  <dataFields count="1">
    <dataField name="Average of number_of_requests" fld="3" subtotal="average" baseField="2" baseItem="5" numFmtId="3"/>
  </dataFields>
  <formats count="1">
    <format dxfId="24">
      <pivotArea outline="0" collapsedLevelsAreSubtotals="1" fieldPosition="0"/>
    </format>
  </formats>
  <chartFormats count="3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3">
          <reference field="4294967294" count="1" selected="0">
            <x v="0"/>
          </reference>
          <reference field="0" count="1" selected="0">
            <x v="0"/>
          </reference>
          <reference field="2" count="1" selected="0">
            <x v="4"/>
          </reference>
        </references>
      </pivotArea>
    </chartFormat>
    <chartFormat chart="0" format="3">
      <pivotArea type="data" outline="0" fieldPosition="0">
        <references count="3">
          <reference field="4294967294" count="1" selected="0">
            <x v="0"/>
          </reference>
          <reference field="0" count="1" selected="0">
            <x v="1"/>
          </reference>
          <reference field="2" count="1" selected="0">
            <x v="4"/>
          </reference>
        </references>
      </pivotArea>
    </chartFormat>
    <chartFormat chart="0" format="4">
      <pivotArea type="data" outline="0" fieldPosition="0">
        <references count="3">
          <reference field="4294967294" count="1" selected="0">
            <x v="0"/>
          </reference>
          <reference field="0" count="1" selected="0">
            <x v="0"/>
          </reference>
          <reference field="2" count="1" selected="0">
            <x v="5"/>
          </reference>
        </references>
      </pivotArea>
    </chartFormat>
    <chartFormat chart="0" format="5">
      <pivotArea type="data" outline="0" fieldPosition="0">
        <references count="3">
          <reference field="4294967294" count="1" selected="0">
            <x v="0"/>
          </reference>
          <reference field="0" count="1" selected="0">
            <x v="1"/>
          </reference>
          <reference field="2" count="1" selected="0">
            <x v="7"/>
          </reference>
        </references>
      </pivotArea>
    </chartFormat>
    <chartFormat chart="0" format="6">
      <pivotArea type="data" outline="0" fieldPosition="0">
        <references count="3">
          <reference field="4294967294" count="1" selected="0">
            <x v="0"/>
          </reference>
          <reference field="0" count="1" selected="0">
            <x v="0"/>
          </reference>
          <reference field="2" count="1" selected="0">
            <x v="8"/>
          </reference>
        </references>
      </pivotArea>
    </chartFormat>
    <chartFormat chart="0" format="7">
      <pivotArea type="data" outline="0" fieldPosition="0">
        <references count="3">
          <reference field="4294967294" count="1" selected="0">
            <x v="0"/>
          </reference>
          <reference field="0" count="1" selected="0">
            <x v="0"/>
          </reference>
          <reference field="2" count="1" selected="0">
            <x v="9"/>
          </reference>
        </references>
      </pivotArea>
    </chartFormat>
    <chartFormat chart="0" format="8">
      <pivotArea type="data" outline="0" fieldPosition="0">
        <references count="3">
          <reference field="4294967294" count="1" selected="0">
            <x v="0"/>
          </reference>
          <reference field="0" count="1" selected="0">
            <x v="1"/>
          </reference>
          <reference field="2" count="1" selected="0">
            <x v="9"/>
          </reference>
        </references>
      </pivotArea>
    </chartFormat>
    <chartFormat chart="0" format="12">
      <pivotArea type="data" outline="0" fieldPosition="0">
        <references count="3">
          <reference field="4294967294" count="1" selected="0">
            <x v="0"/>
          </reference>
          <reference field="0" count="1" selected="0">
            <x v="1"/>
          </reference>
          <reference field="2" count="1" selected="0">
            <x v="3"/>
          </reference>
        </references>
      </pivotArea>
    </chartFormat>
    <chartFormat chart="0" format="13">
      <pivotArea type="data" outline="0" fieldPosition="0">
        <references count="3">
          <reference field="4294967294" count="1" selected="0">
            <x v="0"/>
          </reference>
          <reference field="0" count="1" selected="0">
            <x v="0"/>
          </reference>
          <reference field="2" count="1" selected="0">
            <x v="3"/>
          </reference>
        </references>
      </pivotArea>
    </chartFormat>
    <chartFormat chart="0" format="14">
      <pivotArea type="data" outline="0" fieldPosition="0">
        <references count="3">
          <reference field="4294967294" count="1" selected="0">
            <x v="0"/>
          </reference>
          <reference field="0" count="1" selected="0">
            <x v="1"/>
          </reference>
          <reference field="2" count="1" selected="0">
            <x v="2"/>
          </reference>
        </references>
      </pivotArea>
    </chartFormat>
    <chartFormat chart="0" format="15">
      <pivotArea type="data" outline="0" fieldPosition="0">
        <references count="3">
          <reference field="4294967294" count="1" selected="0">
            <x v="0"/>
          </reference>
          <reference field="0" count="1" selected="0">
            <x v="0"/>
          </reference>
          <reference field="2" count="1" selected="0">
            <x v="2"/>
          </reference>
        </references>
      </pivotArea>
    </chartFormat>
    <chartFormat chart="0" format="16">
      <pivotArea type="data" outline="0" fieldPosition="0">
        <references count="3">
          <reference field="4294967294" count="1" selected="0">
            <x v="0"/>
          </reference>
          <reference field="0" count="1" selected="0">
            <x v="0"/>
          </reference>
          <reference field="2" count="1" selected="0">
            <x v="1"/>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pivotArea type="data" outline="0" fieldPosition="0">
        <references count="3">
          <reference field="4294967294" count="1" selected="0">
            <x v="0"/>
          </reference>
          <reference field="0" count="1" selected="0">
            <x v="1"/>
          </reference>
          <reference field="2" count="1" selected="0">
            <x v="0"/>
          </reference>
        </references>
      </pivotArea>
    </chartFormat>
    <chartFormat chart="4" format="3">
      <pivotArea type="data" outline="0" fieldPosition="0">
        <references count="3">
          <reference field="4294967294" count="1" selected="0">
            <x v="0"/>
          </reference>
          <reference field="0" count="1" selected="0">
            <x v="0"/>
          </reference>
          <reference field="2" count="1" selected="0">
            <x v="0"/>
          </reference>
        </references>
      </pivotArea>
    </chartFormat>
    <chartFormat chart="4" format="4">
      <pivotArea type="data" outline="0" fieldPosition="0">
        <references count="3">
          <reference field="4294967294" count="1" selected="0">
            <x v="0"/>
          </reference>
          <reference field="0" count="1" selected="0">
            <x v="1"/>
          </reference>
          <reference field="2" count="1" selected="0">
            <x v="4"/>
          </reference>
        </references>
      </pivotArea>
    </chartFormat>
    <chartFormat chart="4" format="5">
      <pivotArea type="data" outline="0" fieldPosition="0">
        <references count="3">
          <reference field="4294967294" count="1" selected="0">
            <x v="0"/>
          </reference>
          <reference field="0" count="1" selected="0">
            <x v="0"/>
          </reference>
          <reference field="2" count="1" selected="0">
            <x v="4"/>
          </reference>
        </references>
      </pivotArea>
    </chartFormat>
    <chartFormat chart="4" format="6">
      <pivotArea type="data" outline="0" fieldPosition="0">
        <references count="3">
          <reference field="4294967294" count="1" selected="0">
            <x v="0"/>
          </reference>
          <reference field="0" count="1" selected="0">
            <x v="1"/>
          </reference>
          <reference field="2" count="1" selected="0">
            <x v="7"/>
          </reference>
        </references>
      </pivotArea>
    </chartFormat>
    <chartFormat chart="4" format="7">
      <pivotArea type="data" outline="0" fieldPosition="0">
        <references count="3">
          <reference field="4294967294" count="1" selected="0">
            <x v="0"/>
          </reference>
          <reference field="0" count="1" selected="0">
            <x v="1"/>
          </reference>
          <reference field="2" count="1" selected="0">
            <x v="6"/>
          </reference>
        </references>
      </pivotArea>
    </chartFormat>
    <chartFormat chart="4" format="8">
      <pivotArea type="data" outline="0" fieldPosition="0">
        <references count="3">
          <reference field="4294967294" count="1" selected="0">
            <x v="0"/>
          </reference>
          <reference field="0" count="1" selected="0">
            <x v="0"/>
          </reference>
          <reference field="2" count="1" selected="0">
            <x v="10"/>
          </reference>
        </references>
      </pivotArea>
    </chartFormat>
    <chartFormat chart="4" format="9">
      <pivotArea type="data" outline="0" fieldPosition="0">
        <references count="3">
          <reference field="4294967294" count="1" selected="0">
            <x v="0"/>
          </reference>
          <reference field="0" count="1" selected="0">
            <x v="1"/>
          </reference>
          <reference field="2" count="1" selected="0">
            <x v="10"/>
          </reference>
        </references>
      </pivotArea>
    </chartFormat>
    <chartFormat chart="4" format="10">
      <pivotArea type="data" outline="0" fieldPosition="0">
        <references count="3">
          <reference field="4294967294" count="1" selected="0">
            <x v="0"/>
          </reference>
          <reference field="0" count="1" selected="0">
            <x v="1"/>
          </reference>
          <reference field="2" count="1" selected="0">
            <x v="8"/>
          </reference>
        </references>
      </pivotArea>
    </chartFormat>
    <chartFormat chart="4" format="11">
      <pivotArea type="data" outline="0" fieldPosition="0">
        <references count="3">
          <reference field="4294967294" count="1" selected="0">
            <x v="0"/>
          </reference>
          <reference field="0" count="1" selected="0">
            <x v="0"/>
          </reference>
          <reference field="2" count="1" selected="0">
            <x v="9"/>
          </reference>
        </references>
      </pivotArea>
    </chartFormat>
    <chartFormat chart="4" format="12">
      <pivotArea type="data" outline="0" fieldPosition="0">
        <references count="3">
          <reference field="4294967294" count="1" selected="0">
            <x v="0"/>
          </reference>
          <reference field="0" count="1" selected="0">
            <x v="1"/>
          </reference>
          <reference field="2" count="1" selected="0">
            <x v="9"/>
          </reference>
        </references>
      </pivotArea>
    </chartFormat>
    <chartFormat chart="4" format="13">
      <pivotArea type="data" outline="0" fieldPosition="0">
        <references count="3">
          <reference field="4294967294" count="1" selected="0">
            <x v="0"/>
          </reference>
          <reference field="0" count="1" selected="0">
            <x v="0"/>
          </reference>
          <reference field="2" count="1" selected="0">
            <x v="11"/>
          </reference>
        </references>
      </pivotArea>
    </chartFormat>
    <chartFormat chart="4" format="14">
      <pivotArea type="data" outline="0" fieldPosition="0">
        <references count="3">
          <reference field="4294967294" count="1" selected="0">
            <x v="0"/>
          </reference>
          <reference field="0" count="1" selected="0">
            <x v="1"/>
          </reference>
          <reference field="2" count="1" selected="0">
            <x v="11"/>
          </reference>
        </references>
      </pivotArea>
    </chartFormat>
    <chartFormat chart="4" format="15">
      <pivotArea type="data" outline="0" fieldPosition="0">
        <references count="3">
          <reference field="4294967294" count="1" selected="0">
            <x v="0"/>
          </reference>
          <reference field="0" count="1" selected="0">
            <x v="0"/>
          </reference>
          <reference field="2" count="1" selected="0">
            <x v="6"/>
          </reference>
        </references>
      </pivotArea>
    </chartFormat>
    <chartFormat chart="4" format="16">
      <pivotArea type="data" outline="0" fieldPosition="0">
        <references count="3">
          <reference field="4294967294" count="1" selected="0">
            <x v="0"/>
          </reference>
          <reference field="0" count="1" selected="0">
            <x v="0"/>
          </reference>
          <reference field="2" count="1" selected="0">
            <x v="7"/>
          </reference>
        </references>
      </pivotArea>
    </chartFormat>
    <chartFormat chart="4" format="17">
      <pivotArea type="data" outline="0" fieldPosition="0">
        <references count="3">
          <reference field="4294967294" count="1" selected="0">
            <x v="0"/>
          </reference>
          <reference field="0" count="1" selected="0">
            <x v="1"/>
          </reference>
          <reference field="2" count="1" selected="0">
            <x v="1"/>
          </reference>
        </references>
      </pivotArea>
    </chartFormat>
    <chartFormat chart="4" format="18">
      <pivotArea type="data" outline="0" fieldPosition="0">
        <references count="3">
          <reference field="4294967294" count="1" selected="0">
            <x v="0"/>
          </reference>
          <reference field="0" count="1" selected="0">
            <x v="1"/>
          </reference>
          <reference field="2" count="1" selected="0">
            <x v="2"/>
          </reference>
        </references>
      </pivotArea>
    </chartFormat>
    <chartFormat chart="4" format="19">
      <pivotArea type="data" outline="0" fieldPosition="0">
        <references count="3">
          <reference field="4294967294" count="1" selected="0">
            <x v="0"/>
          </reference>
          <reference field="0" count="1" selected="0">
            <x v="0"/>
          </reference>
          <reference field="2" count="1" selected="0">
            <x v="5"/>
          </reference>
        </references>
      </pivotArea>
    </chartFormat>
    <chartFormat chart="4" format="20">
      <pivotArea type="data" outline="0" fieldPosition="0">
        <references count="3">
          <reference field="4294967294" count="1" selected="0">
            <x v="0"/>
          </reference>
          <reference field="0" count="1" selected="0">
            <x v="1"/>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48970A-4B97-4DAD-805A-BEF342542D0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8:D72" firstHeaderRow="1" firstDataRow="2" firstDataCol="1"/>
  <pivotFields count="3">
    <pivotField axis="axisCol" showAll="0" sortType="ascending">
      <items count="3">
        <item x="0"/>
        <item x="1"/>
        <item t="default"/>
      </items>
    </pivotField>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3">
    <i>
      <x v="3"/>
    </i>
    <i>
      <x v="8"/>
    </i>
    <i>
      <x v="5"/>
    </i>
    <i>
      <x v="11"/>
    </i>
    <i>
      <x v="9"/>
    </i>
    <i>
      <x v="6"/>
    </i>
    <i>
      <x/>
    </i>
    <i>
      <x v="7"/>
    </i>
    <i>
      <x v="2"/>
    </i>
    <i>
      <x v="4"/>
    </i>
    <i>
      <x v="1"/>
    </i>
    <i>
      <x v="10"/>
    </i>
    <i t="grand">
      <x/>
    </i>
  </rowItems>
  <colFields count="1">
    <field x="0"/>
  </colFields>
  <colItems count="3">
    <i>
      <x/>
    </i>
    <i>
      <x v="1"/>
    </i>
    <i t="grand">
      <x/>
    </i>
  </colItems>
  <dataFields count="1">
    <dataField name="Sum of MTTR (days)" fld="2" baseField="0" baseItem="0"/>
  </dataFields>
  <chartFormats count="10">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0"/>
          </reference>
        </references>
      </pivotArea>
    </chartFormat>
    <chartFormat chart="2" format="3"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0"/>
          </reference>
        </references>
      </pivotArea>
    </chartFormat>
    <chartFormat chart="4" format="3"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960299-910C-468A-B925-FC5CE4AF49D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J16" firstHeaderRow="1" firstDataRow="2" firstDataCol="1"/>
  <pivotFields count="4">
    <pivotField axis="axisCol" showAll="0">
      <items count="3">
        <item x="0"/>
        <item x="1"/>
        <item t="default"/>
      </items>
    </pivotField>
    <pivotField showAll="0"/>
    <pivotField axis="axisRow" showAll="0">
      <items count="13">
        <item x="0"/>
        <item x="1"/>
        <item x="2"/>
        <item x="3"/>
        <item x="4"/>
        <item x="5"/>
        <item x="6"/>
        <item x="7"/>
        <item x="8"/>
        <item x="9"/>
        <item x="10"/>
        <item x="11"/>
        <item t="default"/>
      </items>
    </pivotField>
    <pivotField dataField="1" showAll="0"/>
  </pivotFields>
  <rowFields count="1">
    <field x="2"/>
  </rowFields>
  <rowItems count="13">
    <i>
      <x/>
    </i>
    <i>
      <x v="1"/>
    </i>
    <i>
      <x v="2"/>
    </i>
    <i>
      <x v="3"/>
    </i>
    <i>
      <x v="4"/>
    </i>
    <i>
      <x v="5"/>
    </i>
    <i>
      <x v="6"/>
    </i>
    <i>
      <x v="7"/>
    </i>
    <i>
      <x v="8"/>
    </i>
    <i>
      <x v="9"/>
    </i>
    <i>
      <x v="10"/>
    </i>
    <i>
      <x v="11"/>
    </i>
    <i t="grand">
      <x/>
    </i>
  </rowItems>
  <colFields count="1">
    <field x="0"/>
  </colFields>
  <colItems count="3">
    <i>
      <x/>
    </i>
    <i>
      <x v="1"/>
    </i>
    <i t="grand">
      <x/>
    </i>
  </colItems>
  <dataFields count="1">
    <dataField name="Average of number_of_requests" fld="3" subtotal="average" baseField="2" baseItem="5" numFmtId="3"/>
  </dataFields>
  <formats count="1">
    <format dxfId="23">
      <pivotArea outline="0" collapsedLevelsAreSubtotals="1" fieldPosition="0"/>
    </format>
  </formats>
  <chartFormats count="4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3">
          <reference field="4294967294" count="1" selected="0">
            <x v="0"/>
          </reference>
          <reference field="0" count="1" selected="0">
            <x v="0"/>
          </reference>
          <reference field="2" count="1" selected="0">
            <x v="4"/>
          </reference>
        </references>
      </pivotArea>
    </chartFormat>
    <chartFormat chart="0" format="3">
      <pivotArea type="data" outline="0" fieldPosition="0">
        <references count="3">
          <reference field="4294967294" count="1" selected="0">
            <x v="0"/>
          </reference>
          <reference field="0" count="1" selected="0">
            <x v="1"/>
          </reference>
          <reference field="2" count="1" selected="0">
            <x v="4"/>
          </reference>
        </references>
      </pivotArea>
    </chartFormat>
    <chartFormat chart="0" format="4">
      <pivotArea type="data" outline="0" fieldPosition="0">
        <references count="3">
          <reference field="4294967294" count="1" selected="0">
            <x v="0"/>
          </reference>
          <reference field="0" count="1" selected="0">
            <x v="0"/>
          </reference>
          <reference field="2" count="1" selected="0">
            <x v="5"/>
          </reference>
        </references>
      </pivotArea>
    </chartFormat>
    <chartFormat chart="0" format="5">
      <pivotArea type="data" outline="0" fieldPosition="0">
        <references count="3">
          <reference field="4294967294" count="1" selected="0">
            <x v="0"/>
          </reference>
          <reference field="0" count="1" selected="0">
            <x v="1"/>
          </reference>
          <reference field="2" count="1" selected="0">
            <x v="7"/>
          </reference>
        </references>
      </pivotArea>
    </chartFormat>
    <chartFormat chart="0" format="6">
      <pivotArea type="data" outline="0" fieldPosition="0">
        <references count="3">
          <reference field="4294967294" count="1" selected="0">
            <x v="0"/>
          </reference>
          <reference field="0" count="1" selected="0">
            <x v="0"/>
          </reference>
          <reference field="2" count="1" selected="0">
            <x v="8"/>
          </reference>
        </references>
      </pivotArea>
    </chartFormat>
    <chartFormat chart="0" format="7">
      <pivotArea type="data" outline="0" fieldPosition="0">
        <references count="3">
          <reference field="4294967294" count="1" selected="0">
            <x v="0"/>
          </reference>
          <reference field="0" count="1" selected="0">
            <x v="0"/>
          </reference>
          <reference field="2" count="1" selected="0">
            <x v="9"/>
          </reference>
        </references>
      </pivotArea>
    </chartFormat>
    <chartFormat chart="0" format="8">
      <pivotArea type="data" outline="0" fieldPosition="0">
        <references count="3">
          <reference field="4294967294" count="1" selected="0">
            <x v="0"/>
          </reference>
          <reference field="0" count="1" selected="0">
            <x v="1"/>
          </reference>
          <reference field="2" count="1" selected="0">
            <x v="9"/>
          </reference>
        </references>
      </pivotArea>
    </chartFormat>
    <chartFormat chart="0" format="9">
      <pivotArea type="data" outline="0" fieldPosition="0">
        <references count="3">
          <reference field="4294967294" count="1" selected="0">
            <x v="0"/>
          </reference>
          <reference field="0" count="1" selected="0">
            <x v="0"/>
          </reference>
          <reference field="2" count="1" selected="0">
            <x v="10"/>
          </reference>
        </references>
      </pivotArea>
    </chartFormat>
    <chartFormat chart="0" format="10">
      <pivotArea type="data" outline="0" fieldPosition="0">
        <references count="3">
          <reference field="4294967294" count="1" selected="0">
            <x v="0"/>
          </reference>
          <reference field="0" count="1" selected="0">
            <x v="1"/>
          </reference>
          <reference field="2" count="1" selected="0">
            <x v="10"/>
          </reference>
        </references>
      </pivotArea>
    </chartFormat>
    <chartFormat chart="0" format="11">
      <pivotArea type="data" outline="0" fieldPosition="0">
        <references count="3">
          <reference field="4294967294" count="1" selected="0">
            <x v="0"/>
          </reference>
          <reference field="0" count="1" selected="0">
            <x v="1"/>
          </reference>
          <reference field="2" count="1" selected="0">
            <x v="6"/>
          </reference>
        </references>
      </pivotArea>
    </chartFormat>
    <chartFormat chart="0" format="12">
      <pivotArea type="data" outline="0" fieldPosition="0">
        <references count="3">
          <reference field="4294967294" count="1" selected="0">
            <x v="0"/>
          </reference>
          <reference field="0" count="1" selected="0">
            <x v="1"/>
          </reference>
          <reference field="2" count="1" selected="0">
            <x v="3"/>
          </reference>
        </references>
      </pivotArea>
    </chartFormat>
    <chartFormat chart="0" format="13">
      <pivotArea type="data" outline="0" fieldPosition="0">
        <references count="3">
          <reference field="4294967294" count="1" selected="0">
            <x v="0"/>
          </reference>
          <reference field="0" count="1" selected="0">
            <x v="0"/>
          </reference>
          <reference field="2" count="1" selected="0">
            <x v="3"/>
          </reference>
        </references>
      </pivotArea>
    </chartFormat>
    <chartFormat chart="0" format="14">
      <pivotArea type="data" outline="0" fieldPosition="0">
        <references count="3">
          <reference field="4294967294" count="1" selected="0">
            <x v="0"/>
          </reference>
          <reference field="0" count="1" selected="0">
            <x v="1"/>
          </reference>
          <reference field="2" count="1" selected="0">
            <x v="2"/>
          </reference>
        </references>
      </pivotArea>
    </chartFormat>
    <chartFormat chart="0" format="15">
      <pivotArea type="data" outline="0" fieldPosition="0">
        <references count="3">
          <reference field="4294967294" count="1" selected="0">
            <x v="0"/>
          </reference>
          <reference field="0" count="1" selected="0">
            <x v="0"/>
          </reference>
          <reference field="2" count="1" selected="0">
            <x v="2"/>
          </reference>
        </references>
      </pivotArea>
    </chartFormat>
    <chartFormat chart="0" format="16">
      <pivotArea type="data" outline="0" fieldPosition="0">
        <references count="3">
          <reference field="4294967294" count="1" selected="0">
            <x v="0"/>
          </reference>
          <reference field="0" count="1" selected="0">
            <x v="0"/>
          </reference>
          <reference field="2" count="1" selected="0">
            <x v="1"/>
          </reference>
        </references>
      </pivotArea>
    </chartFormat>
    <chartFormat chart="0" format="17">
      <pivotArea type="data" outline="0" fieldPosition="0">
        <references count="3">
          <reference field="4294967294" count="1" selected="0">
            <x v="0"/>
          </reference>
          <reference field="0" count="1" selected="0">
            <x v="1"/>
          </reference>
          <reference field="2" count="1" selected="0">
            <x v="8"/>
          </reference>
        </references>
      </pivotArea>
    </chartFormat>
    <chartFormat chart="0" format="18">
      <pivotArea type="data" outline="0" fieldPosition="0">
        <references count="3">
          <reference field="4294967294" count="1" selected="0">
            <x v="0"/>
          </reference>
          <reference field="0" count="1" selected="0">
            <x v="0"/>
          </reference>
          <reference field="2" count="1" selected="0">
            <x v="11"/>
          </reference>
        </references>
      </pivotArea>
    </chartFormat>
    <chartFormat chart="0" format="19">
      <pivotArea type="data" outline="0" fieldPosition="0">
        <references count="3">
          <reference field="4294967294" count="1" selected="0">
            <x v="0"/>
          </reference>
          <reference field="0" count="1" selected="0">
            <x v="1"/>
          </reference>
          <reference field="2" count="1" selected="0">
            <x v="11"/>
          </reference>
        </references>
      </pivotArea>
    </chartFormat>
    <chartFormat chart="0" format="20">
      <pivotArea type="data" outline="0" fieldPosition="0">
        <references count="3">
          <reference field="4294967294" count="1" selected="0">
            <x v="0"/>
          </reference>
          <reference field="0" count="1" selected="0">
            <x v="0"/>
          </reference>
          <reference field="2" count="1" selected="0">
            <x v="6"/>
          </reference>
        </references>
      </pivotArea>
    </chartFormat>
    <chartFormat chart="0" format="21">
      <pivotArea type="data" outline="0" fieldPosition="0">
        <references count="3">
          <reference field="4294967294" count="1" selected="0">
            <x v="0"/>
          </reference>
          <reference field="0" count="1" selected="0">
            <x v="1"/>
          </reference>
          <reference field="2" count="1" selected="0">
            <x v="1"/>
          </reference>
        </references>
      </pivotArea>
    </chartFormat>
    <chartFormat chart="5" format="44" series="1">
      <pivotArea type="data" outline="0" fieldPosition="0">
        <references count="2">
          <reference field="4294967294" count="1" selected="0">
            <x v="0"/>
          </reference>
          <reference field="0" count="1" selected="0">
            <x v="0"/>
          </reference>
        </references>
      </pivotArea>
    </chartFormat>
    <chartFormat chart="5" format="45">
      <pivotArea type="data" outline="0" fieldPosition="0">
        <references count="3">
          <reference field="4294967294" count="1" selected="0">
            <x v="0"/>
          </reference>
          <reference field="0" count="1" selected="0">
            <x v="0"/>
          </reference>
          <reference field="2" count="1" selected="0">
            <x v="1"/>
          </reference>
        </references>
      </pivotArea>
    </chartFormat>
    <chartFormat chart="5" format="46">
      <pivotArea type="data" outline="0" fieldPosition="0">
        <references count="3">
          <reference field="4294967294" count="1" selected="0">
            <x v="0"/>
          </reference>
          <reference field="0" count="1" selected="0">
            <x v="0"/>
          </reference>
          <reference field="2" count="1" selected="0">
            <x v="2"/>
          </reference>
        </references>
      </pivotArea>
    </chartFormat>
    <chartFormat chart="5" format="47">
      <pivotArea type="data" outline="0" fieldPosition="0">
        <references count="3">
          <reference field="4294967294" count="1" selected="0">
            <x v="0"/>
          </reference>
          <reference field="0" count="1" selected="0">
            <x v="0"/>
          </reference>
          <reference field="2" count="1" selected="0">
            <x v="3"/>
          </reference>
        </references>
      </pivotArea>
    </chartFormat>
    <chartFormat chart="5" format="48">
      <pivotArea type="data" outline="0" fieldPosition="0">
        <references count="3">
          <reference field="4294967294" count="1" selected="0">
            <x v="0"/>
          </reference>
          <reference field="0" count="1" selected="0">
            <x v="0"/>
          </reference>
          <reference field="2" count="1" selected="0">
            <x v="4"/>
          </reference>
        </references>
      </pivotArea>
    </chartFormat>
    <chartFormat chart="5" format="49">
      <pivotArea type="data" outline="0" fieldPosition="0">
        <references count="3">
          <reference field="4294967294" count="1" selected="0">
            <x v="0"/>
          </reference>
          <reference field="0" count="1" selected="0">
            <x v="0"/>
          </reference>
          <reference field="2" count="1" selected="0">
            <x v="5"/>
          </reference>
        </references>
      </pivotArea>
    </chartFormat>
    <chartFormat chart="5" format="50">
      <pivotArea type="data" outline="0" fieldPosition="0">
        <references count="3">
          <reference field="4294967294" count="1" selected="0">
            <x v="0"/>
          </reference>
          <reference field="0" count="1" selected="0">
            <x v="0"/>
          </reference>
          <reference field="2" count="1" selected="0">
            <x v="6"/>
          </reference>
        </references>
      </pivotArea>
    </chartFormat>
    <chartFormat chart="5" format="51">
      <pivotArea type="data" outline="0" fieldPosition="0">
        <references count="3">
          <reference field="4294967294" count="1" selected="0">
            <x v="0"/>
          </reference>
          <reference field="0" count="1" selected="0">
            <x v="0"/>
          </reference>
          <reference field="2" count="1" selected="0">
            <x v="8"/>
          </reference>
        </references>
      </pivotArea>
    </chartFormat>
    <chartFormat chart="5" format="52">
      <pivotArea type="data" outline="0" fieldPosition="0">
        <references count="3">
          <reference field="4294967294" count="1" selected="0">
            <x v="0"/>
          </reference>
          <reference field="0" count="1" selected="0">
            <x v="0"/>
          </reference>
          <reference field="2" count="1" selected="0">
            <x v="9"/>
          </reference>
        </references>
      </pivotArea>
    </chartFormat>
    <chartFormat chart="5" format="53">
      <pivotArea type="data" outline="0" fieldPosition="0">
        <references count="3">
          <reference field="4294967294" count="1" selected="0">
            <x v="0"/>
          </reference>
          <reference field="0" count="1" selected="0">
            <x v="0"/>
          </reference>
          <reference field="2" count="1" selected="0">
            <x v="10"/>
          </reference>
        </references>
      </pivotArea>
    </chartFormat>
    <chartFormat chart="5" format="54">
      <pivotArea type="data" outline="0" fieldPosition="0">
        <references count="3">
          <reference field="4294967294" count="1" selected="0">
            <x v="0"/>
          </reference>
          <reference field="0" count="1" selected="0">
            <x v="0"/>
          </reference>
          <reference field="2" count="1" selected="0">
            <x v="11"/>
          </reference>
        </references>
      </pivotArea>
    </chartFormat>
    <chartFormat chart="5" format="55" series="1">
      <pivotArea type="data" outline="0" fieldPosition="0">
        <references count="2">
          <reference field="4294967294" count="1" selected="0">
            <x v="0"/>
          </reference>
          <reference field="0" count="1" selected="0">
            <x v="1"/>
          </reference>
        </references>
      </pivotArea>
    </chartFormat>
    <chartFormat chart="5" format="56">
      <pivotArea type="data" outline="0" fieldPosition="0">
        <references count="3">
          <reference field="4294967294" count="1" selected="0">
            <x v="0"/>
          </reference>
          <reference field="0" count="1" selected="0">
            <x v="1"/>
          </reference>
          <reference field="2" count="1" selected="0">
            <x v="1"/>
          </reference>
        </references>
      </pivotArea>
    </chartFormat>
    <chartFormat chart="5" format="57">
      <pivotArea type="data" outline="0" fieldPosition="0">
        <references count="3">
          <reference field="4294967294" count="1" selected="0">
            <x v="0"/>
          </reference>
          <reference field="0" count="1" selected="0">
            <x v="1"/>
          </reference>
          <reference field="2" count="1" selected="0">
            <x v="2"/>
          </reference>
        </references>
      </pivotArea>
    </chartFormat>
    <chartFormat chart="5" format="58">
      <pivotArea type="data" outline="0" fieldPosition="0">
        <references count="3">
          <reference field="4294967294" count="1" selected="0">
            <x v="0"/>
          </reference>
          <reference field="0" count="1" selected="0">
            <x v="1"/>
          </reference>
          <reference field="2" count="1" selected="0">
            <x v="3"/>
          </reference>
        </references>
      </pivotArea>
    </chartFormat>
    <chartFormat chart="5" format="59">
      <pivotArea type="data" outline="0" fieldPosition="0">
        <references count="3">
          <reference field="4294967294" count="1" selected="0">
            <x v="0"/>
          </reference>
          <reference field="0" count="1" selected="0">
            <x v="1"/>
          </reference>
          <reference field="2" count="1" selected="0">
            <x v="4"/>
          </reference>
        </references>
      </pivotArea>
    </chartFormat>
    <chartFormat chart="5" format="60">
      <pivotArea type="data" outline="0" fieldPosition="0">
        <references count="3">
          <reference field="4294967294" count="1" selected="0">
            <x v="0"/>
          </reference>
          <reference field="0" count="1" selected="0">
            <x v="1"/>
          </reference>
          <reference field="2" count="1" selected="0">
            <x v="6"/>
          </reference>
        </references>
      </pivotArea>
    </chartFormat>
    <chartFormat chart="5" format="61">
      <pivotArea type="data" outline="0" fieldPosition="0">
        <references count="3">
          <reference field="4294967294" count="1" selected="0">
            <x v="0"/>
          </reference>
          <reference field="0" count="1" selected="0">
            <x v="1"/>
          </reference>
          <reference field="2" count="1" selected="0">
            <x v="7"/>
          </reference>
        </references>
      </pivotArea>
    </chartFormat>
    <chartFormat chart="5" format="62">
      <pivotArea type="data" outline="0" fieldPosition="0">
        <references count="3">
          <reference field="4294967294" count="1" selected="0">
            <x v="0"/>
          </reference>
          <reference field="0" count="1" selected="0">
            <x v="1"/>
          </reference>
          <reference field="2" count="1" selected="0">
            <x v="8"/>
          </reference>
        </references>
      </pivotArea>
    </chartFormat>
    <chartFormat chart="5" format="63">
      <pivotArea type="data" outline="0" fieldPosition="0">
        <references count="3">
          <reference field="4294967294" count="1" selected="0">
            <x v="0"/>
          </reference>
          <reference field="0" count="1" selected="0">
            <x v="1"/>
          </reference>
          <reference field="2" count="1" selected="0">
            <x v="9"/>
          </reference>
        </references>
      </pivotArea>
    </chartFormat>
    <chartFormat chart="5" format="64">
      <pivotArea type="data" outline="0" fieldPosition="0">
        <references count="3">
          <reference field="4294967294" count="1" selected="0">
            <x v="0"/>
          </reference>
          <reference field="0" count="1" selected="0">
            <x v="1"/>
          </reference>
          <reference field="2" count="1" selected="0">
            <x v="10"/>
          </reference>
        </references>
      </pivotArea>
    </chartFormat>
    <chartFormat chart="5" format="65">
      <pivotArea type="data" outline="0" fieldPosition="0">
        <references count="3">
          <reference field="4294967294" count="1" selected="0">
            <x v="0"/>
          </reference>
          <reference field="0" count="1" selected="0">
            <x v="1"/>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139752-56A1-41BE-8CE9-03BF3DA4E1B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S7" firstHeaderRow="1" firstDataRow="1" firstDataCol="1"/>
  <pivotFields count="4">
    <pivotField axis="axisRow" showAll="0">
      <items count="3">
        <item x="0"/>
        <item x="1"/>
        <item t="default"/>
      </items>
    </pivotField>
    <pivotField showAll="0"/>
    <pivotField showAll="0"/>
    <pivotField dataField="1" showAll="0"/>
  </pivotFields>
  <rowFields count="1">
    <field x="0"/>
  </rowFields>
  <rowItems count="3">
    <i>
      <x/>
    </i>
    <i>
      <x v="1"/>
    </i>
    <i t="grand">
      <x/>
    </i>
  </rowItems>
  <colItems count="1">
    <i/>
  </colItems>
  <dataFields count="1">
    <dataField name="Average of number_of_request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2305EC-27B3-4082-99C6-7C8FF7368CD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41" firstHeaderRow="1" firstDataRow="1" firstDataCol="1"/>
  <pivotFields count="4">
    <pivotField axis="axisRow" showAll="0">
      <items count="3">
        <item x="0"/>
        <item x="1"/>
        <item t="default"/>
      </items>
    </pivotField>
    <pivotField showAll="0"/>
    <pivotField showAll="0"/>
    <pivotField dataField="1" showAll="0"/>
  </pivotFields>
  <rowFields count="1">
    <field x="0"/>
  </rowFields>
  <rowItems count="3">
    <i>
      <x/>
    </i>
    <i>
      <x v="1"/>
    </i>
    <i t="grand">
      <x/>
    </i>
  </rowItems>
  <colItems count="1">
    <i/>
  </colItems>
  <dataFields count="1">
    <dataField name="Average of number_of_request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F0ACDDF-B327-4A58-93AF-40D77F584684}" autoFormatId="16" applyNumberFormats="0" applyBorderFormats="0" applyFontFormats="0" applyPatternFormats="0" applyAlignmentFormats="0" applyWidthHeightFormats="0">
  <queryTableRefresh nextId="5">
    <queryTableFields count="4">
      <queryTableField id="1" name="year" tableColumnId="1"/>
      <queryTableField id="2" name="month" tableColumnId="2"/>
      <queryTableField id="3" name="requesttype" tableColumnId="3"/>
      <queryTableField id="4" name="number_of_requests"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DC5E2EF-9F00-464B-9A49-78193A7A102D}" autoFormatId="16" applyNumberFormats="0" applyBorderFormats="0" applyFontFormats="0" applyPatternFormats="0" applyAlignmentFormats="0" applyWidthHeightFormats="0">
  <queryTableRefresh nextId="5">
    <queryTableFields count="4">
      <queryTableField id="1" name="year" tableColumnId="1"/>
      <queryTableField id="2" name="responsibleagency" tableColumnId="2"/>
      <queryTableField id="3" name="no_cases_per_year" tableColumnId="3"/>
      <queryTableField id="4" name="mttr"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7" xr16:uid="{A5EDBD58-1C32-49BE-9156-427836C5ECD9}" autoFormatId="16" applyNumberFormats="0" applyBorderFormats="0" applyFontFormats="0" applyPatternFormats="0" applyAlignmentFormats="0" applyWidthHeightFormats="0">
  <queryTableRefresh nextId="6" unboundColumnsRight="1">
    <queryTableFields count="4">
      <queryTableField id="1" name="year" tableColumnId="1"/>
      <queryTableField id="2" name="responsibleagency" tableColumnId="2"/>
      <queryTableField id="3" name="no_cases_per_month" tableColumnId="3"/>
      <queryTableField id="5" dataBound="0" tableColumnId="5"/>
    </queryTableFields>
    <queryTableDeletedFields count="1">
      <deletedField name="mttr"/>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9" xr16:uid="{A77429BA-BECE-481A-A88B-08591D2B5D69}" autoFormatId="16" applyNumberFormats="0" applyBorderFormats="0" applyFontFormats="0" applyPatternFormats="0" applyAlignmentFormats="0" applyWidthHeightFormats="0">
  <queryTableRefresh nextId="4">
    <queryTableFields count="3">
      <queryTableField id="1" name="year" tableColumnId="1"/>
      <queryTableField id="2" name="no_cases_per_year" tableColumnId="2"/>
      <queryTableField id="3" name="mttr"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6" xr16:uid="{DC4852DC-3DFE-4790-B381-8CDBED906836}" autoFormatId="16" applyNumberFormats="0" applyBorderFormats="0" applyFontFormats="0" applyPatternFormats="0" applyAlignmentFormats="0" applyWidthHeightFormats="0">
  <queryTableRefresh nextId="7" unboundColumnsRight="1">
    <queryTableFields count="3">
      <queryTableField id="1" name="year" tableColumnId="1"/>
      <queryTableField id="2" name="responsibleagency" tableColumnId="2"/>
      <queryTableField id="6" dataBound="0" tableColumnId="3"/>
    </queryTableFields>
    <queryTableDeletedFields count="2">
      <deletedField name="mttr"/>
      <deletedField name="no_cases_per_month"/>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4" xr16:uid="{A41DD5E8-8849-4FE0-BD00-C66A1800C904}" autoFormatId="16" applyNumberFormats="0" applyBorderFormats="0" applyFontFormats="0" applyPatternFormats="0" applyAlignmentFormats="0" applyWidthHeightFormats="0">
  <queryTableRefresh nextId="5" unboundColumnsRight="1">
    <queryTableFields count="3">
      <queryTableField id="1" name="year" tableColumnId="1"/>
      <queryTableField id="2" name="requesttype" tableColumnId="2"/>
      <queryTableField id="4" dataBound="0" tableColumnId="4"/>
    </queryTableFields>
    <queryTableDeletedFields count="1">
      <deletedField name="mttr"/>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6356C8CF-F260-40EB-A873-6DF2B498EF46}" autoFormatId="16" applyNumberFormats="0" applyBorderFormats="0" applyFontFormats="0" applyPatternFormats="0" applyAlignmentFormats="0" applyWidthHeightFormats="0">
  <queryTableRefresh nextId="4">
    <queryTableFields count="3">
      <queryTableField id="1" name="year" tableColumnId="1"/>
      <queryTableField id="2" name="no_cases_per_year" tableColumnId="2"/>
      <queryTableField id="3" name="mttr"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3" xr16:uid="{F3FE8943-C23A-4E9C-86B8-49AB386C26C7}" autoFormatId="16" applyNumberFormats="0" applyBorderFormats="0" applyFontFormats="0" applyPatternFormats="0" applyAlignmentFormats="0" applyWidthHeightFormats="0">
  <queryTableRefresh nextId="5" unboundColumnsRight="1">
    <queryTableFields count="3">
      <queryTableField id="1" name="year" tableColumnId="1"/>
      <queryTableField id="2" name="requesttype" tableColumnId="2"/>
      <queryTableField id="4" dataBound="0" tableColumnId="4"/>
    </queryTableFields>
    <queryTableDeletedFields count="1">
      <deletedField name="mttr"/>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147F5C-95D2-4747-B38E-B5232E846F66}" name="PR2_per_year_month_requesttype" displayName="PR2_per_year_month_requesttype" ref="A1:D289" tableType="queryTable" totalsRowShown="0">
  <autoFilter ref="A1:D289" xr:uid="{8A147F5C-95D2-4747-B38E-B5232E846F66}"/>
  <tableColumns count="4">
    <tableColumn id="1" xr3:uid="{06DD945B-1D1E-4F6C-AD9B-CC42AD8906CC}" uniqueName="1" name="year" queryTableFieldId="1"/>
    <tableColumn id="2" xr3:uid="{E6CE1B3E-B679-466C-8196-3DAFE0FC5B0F}" uniqueName="2" name="month" queryTableFieldId="2"/>
    <tableColumn id="3" xr3:uid="{7F4D679C-A9EE-4427-A1E1-67DA963AA7AD}" uniqueName="3" name="requesttype" queryTableFieldId="3" dataDxfId="22"/>
    <tableColumn id="4" xr3:uid="{E0FBE60C-5CBF-480C-929A-CC88754F4ADA}" uniqueName="4" name="number_of_requests"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8E3187-0EC2-418B-9E60-9758F047D1DE}" name="PR1___per_year_month_committee_MODIFIED" displayName="PR1___per_year_month_committee_MODIFIED" ref="A1:D15" tableType="queryTable" totalsRowShown="0">
  <autoFilter ref="A1:D15" xr:uid="{168E3187-0EC2-418B-9E60-9758F047D1DE}"/>
  <tableColumns count="4">
    <tableColumn id="1" xr3:uid="{67264D8D-D716-48E1-9D61-B216AF15C064}" uniqueName="1" name="year" queryTableFieldId="1"/>
    <tableColumn id="2" xr3:uid="{123C002D-7438-4890-A19C-B54D21015743}" uniqueName="2" name="responsibleagency" queryTableFieldId="2" dataDxfId="21"/>
    <tableColumn id="3" xr3:uid="{2614D45C-9DB9-47FE-9CA7-C17D34B65B68}" uniqueName="3" name="no_cases_per_year" queryTableFieldId="3"/>
    <tableColumn id="4" xr3:uid="{4318A68E-E242-4F70-B4A1-06DBE0F67F28}" uniqueName="4" name="mttr" queryTableFieldId="4"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108EEE-0A59-450E-8EBF-571BCB10F6ED}" name="test34" displayName="test34" ref="A6:D20" tableType="queryTable" headerRowDxfId="19" dataDxfId="18">
  <autoFilter ref="A6:D20" xr:uid="{E4108EEE-0A59-450E-8EBF-571BCB10F6ED}"/>
  <tableColumns count="4">
    <tableColumn id="1" xr3:uid="{0FBEDA6C-46CB-4C59-9839-F36AF8BC7624}" uniqueName="1" name="year" queryTableFieldId="1" dataDxfId="17" totalsRowDxfId="16"/>
    <tableColumn id="2" xr3:uid="{9281B99F-5EE6-43A4-9B2C-B25182E2130C}" uniqueName="2" name="responsibleagency" queryTableFieldId="2" dataDxfId="15" totalsRowDxfId="14"/>
    <tableColumn id="3" xr3:uid="{054119AD-F31C-4A48-9E7A-F45186F727E4}" uniqueName="3" name="no_cases_per_year" queryTableFieldId="3" dataDxfId="13" totalsRowDxfId="12"/>
    <tableColumn id="5" xr3:uid="{D905433B-767A-42A6-9630-39296119BB6F}" uniqueName="5" name="mttr  (days)" totalsRowFunction="custom" queryTableFieldId="5" dataDxfId="11" totalsRowDxfId="10">
      <totalsRowFormula>AVERAGE(test34[mttr  (days)])</totalsRowFormula>
    </tableColumn>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52E82C4-1E67-495D-A38E-F74F1792899F}" name="Total_number_of_cases_in_2016_2017_and_their_average_MTTR7" displayName="Total_number_of_cases_in_2016_2017_and_their_average_MTTR7" ref="A30:C33" tableType="queryTable" totalsRowCount="1">
  <autoFilter ref="A30:C32" xr:uid="{252E82C4-1E67-495D-A38E-F74F1792899F}"/>
  <tableColumns count="3">
    <tableColumn id="1" xr3:uid="{DC4D3DBE-58B2-4E7F-8247-EE0FD98E5CE9}" uniqueName="1" name="year" queryTableFieldId="1" totalsRowDxfId="9"/>
    <tableColumn id="2" xr3:uid="{9382D841-18EA-41B1-86D9-3FB9350A50E6}" uniqueName="2" name="no_cases_per_year" totalsRowFunction="custom" queryTableFieldId="2" totalsRowDxfId="8">
      <totalsRowFormula>B32-B31</totalsRowFormula>
    </tableColumn>
    <tableColumn id="3" xr3:uid="{3DB3AE1F-B904-4C4D-A649-4F77718B26D2}" uniqueName="3" name="mttr" queryTableFieldId="3" dataDxfId="7" totalsRow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12A4E5-DD1F-493B-9613-1C63601D1B56}" name="test3" displayName="test3" ref="A45:C59" tableType="queryTable" totalsRowShown="0" headerRowDxfId="5">
  <autoFilter ref="A45:C59" xr:uid="{6312A4E5-DD1F-493B-9613-1C63601D1B56}"/>
  <tableColumns count="3">
    <tableColumn id="1" xr3:uid="{DDFA4748-571F-46CD-B0BD-C5DF8D8C633D}" uniqueName="1" name="year" queryTableFieldId="1" dataDxfId="4"/>
    <tableColumn id="2" xr3:uid="{C52FECCB-7215-4D50-AE01-3AD5504B8441}" uniqueName="2" name="responsibleagency" queryTableFieldId="2" dataDxfId="3"/>
    <tableColumn id="3" xr3:uid="{2302D27C-CCEC-4492-9E1F-AAEBBE1B08E3}" uniqueName="3" name="MTTR (days)" queryTableFieldId="6"/>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07C0C15-D527-4107-A7E6-17527073D2F8}" name="PR3__per_year_for_each_request_type9" displayName="PR3__per_year_for_each_request_type9" ref="A63:C87" tableType="queryTable" totalsRowShown="0">
  <autoFilter ref="A63:C87" xr:uid="{E07C0C15-D527-4107-A7E6-17527073D2F8}"/>
  <tableColumns count="3">
    <tableColumn id="1" xr3:uid="{B837DC9D-7CDA-4CEF-9E41-1B7877B04246}" uniqueName="1" name="year" queryTableFieldId="1"/>
    <tableColumn id="2" xr3:uid="{821F5EE3-4C29-4D52-AAC4-5D59DC6FC012}" uniqueName="2" name="requesttype" queryTableFieldId="2" dataDxfId="2"/>
    <tableColumn id="4" xr3:uid="{9CEE09C9-E059-422F-9CB0-99F811C5E8D7}" uniqueName="4" name="MTTR (days)"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7B7E4B-1514-4D32-A24B-B821609E2C4D}" name="Total_number_of_cases_in_2016_2017_and_their_average_MTTR" displayName="Total_number_of_cases_in_2016_2017_and_their_average_MTTR" ref="A1:C3" tableType="queryTable" totalsRowShown="0">
  <autoFilter ref="A1:C3" xr:uid="{537B7E4B-1514-4D32-A24B-B821609E2C4D}"/>
  <tableColumns count="3">
    <tableColumn id="1" xr3:uid="{07BDC581-221D-42C1-B6A8-82ED4AF43C40}" uniqueName="1" name="year" queryTableFieldId="1"/>
    <tableColumn id="2" xr3:uid="{B5B43A54-596B-4D3A-8D57-A6C6C1239CE1}" uniqueName="2" name="no_cases_per_year" queryTableFieldId="2"/>
    <tableColumn id="3" xr3:uid="{B9FDE625-BE25-4E62-ABAA-A7014D196F72}" uniqueName="3" name="mttr" queryTableFieldId="3" dataDxfId="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89AC63-CC46-4CC0-810D-23B5753199F4}" name="PR3__per_year_for_each_request_type" displayName="PR3__per_year_for_each_request_type" ref="A1:C25" tableType="queryTable" totalsRowShown="0">
  <autoFilter ref="A1:C25" xr:uid="{1B89AC63-CC46-4CC0-810D-23B5753199F4}"/>
  <tableColumns count="3">
    <tableColumn id="1" xr3:uid="{FFB05960-A306-4D80-A011-398930775D7B}" uniqueName="1" name="year" queryTableFieldId="1"/>
    <tableColumn id="2" xr3:uid="{F673798E-34B0-475F-BF17-722BFC4084BD}" uniqueName="2" name="requesttype" queryTableFieldId="2" dataDxfId="0"/>
    <tableColumn id="4" xr3:uid="{727B9AF8-83BD-4508-850F-67C38B306C3B}" uniqueName="4" name="MTTR (days)" queryTableFieldId="4"/>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20"/>
  <sheetViews>
    <sheetView workbookViewId="0">
      <selection activeCell="C15" sqref="C15"/>
    </sheetView>
  </sheetViews>
  <sheetFormatPr defaultColWidth="14.44140625" defaultRowHeight="15.75" customHeight="1" x14ac:dyDescent="0.25"/>
  <cols>
    <col min="1" max="1" width="123.44140625" bestFit="1" customWidth="1"/>
  </cols>
  <sheetData>
    <row r="1" spans="1:2" ht="13.2" x14ac:dyDescent="0.25">
      <c r="A1" s="1" t="s">
        <v>2</v>
      </c>
      <c r="B1" s="4"/>
    </row>
    <row r="2" spans="1:2" ht="13.2" x14ac:dyDescent="0.25">
      <c r="A2" s="2" t="s">
        <v>5</v>
      </c>
    </row>
    <row r="3" spans="1:2" ht="13.2" x14ac:dyDescent="0.25">
      <c r="A3" s="4" t="s">
        <v>6</v>
      </c>
    </row>
    <row r="4" spans="1:2" ht="13.2" x14ac:dyDescent="0.25">
      <c r="A4" s="4"/>
    </row>
    <row r="5" spans="1:2" ht="13.2" x14ac:dyDescent="0.25">
      <c r="A5" s="4"/>
    </row>
    <row r="6" spans="1:2" ht="13.2" x14ac:dyDescent="0.25">
      <c r="A6" s="1" t="s">
        <v>108</v>
      </c>
    </row>
    <row r="7" spans="1:2" ht="15.75" customHeight="1" x14ac:dyDescent="0.25">
      <c r="A7" s="8" t="s">
        <v>103</v>
      </c>
    </row>
    <row r="8" spans="1:2" ht="15.75" customHeight="1" x14ac:dyDescent="0.25">
      <c r="A8" s="8" t="s">
        <v>105</v>
      </c>
    </row>
    <row r="9" spans="1:2" ht="15.75" customHeight="1" x14ac:dyDescent="0.25">
      <c r="A9" s="8" t="s">
        <v>112</v>
      </c>
    </row>
    <row r="10" spans="1:2" ht="15.75" customHeight="1" x14ac:dyDescent="0.25">
      <c r="A10" s="8" t="s">
        <v>113</v>
      </c>
    </row>
    <row r="11" spans="1:2" ht="15.75" customHeight="1" x14ac:dyDescent="0.25">
      <c r="A11" s="8"/>
    </row>
    <row r="12" spans="1:2" ht="15.75" customHeight="1" x14ac:dyDescent="0.25">
      <c r="A12" s="28" t="s">
        <v>102</v>
      </c>
      <c r="B12" s="27"/>
    </row>
    <row r="13" spans="1:2" ht="15.75" customHeight="1" x14ac:dyDescent="0.25">
      <c r="A13" s="8" t="s">
        <v>104</v>
      </c>
    </row>
    <row r="14" spans="1:2" ht="15.75" customHeight="1" x14ac:dyDescent="0.25">
      <c r="A14" s="8" t="s">
        <v>107</v>
      </c>
    </row>
    <row r="16" spans="1:2" ht="15.75" customHeight="1" x14ac:dyDescent="0.25">
      <c r="A16" s="28" t="s">
        <v>106</v>
      </c>
    </row>
    <row r="17" spans="1:1" ht="15.75" customHeight="1" x14ac:dyDescent="0.25">
      <c r="A17" s="8" t="s">
        <v>109</v>
      </c>
    </row>
    <row r="19" spans="1:1" ht="15.75" customHeight="1" x14ac:dyDescent="0.25">
      <c r="A19" s="28" t="s">
        <v>110</v>
      </c>
    </row>
    <row r="20" spans="1:1" ht="15.75" customHeight="1" x14ac:dyDescent="0.25">
      <c r="A20" s="8" t="s">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2151F-B7C9-4285-B8A5-B92036008088}">
  <dimension ref="A3:D13"/>
  <sheetViews>
    <sheetView workbookViewId="0">
      <selection activeCell="A3" sqref="A3:D13"/>
    </sheetView>
  </sheetViews>
  <sheetFormatPr defaultRowHeight="13.2" x14ac:dyDescent="0.25"/>
  <cols>
    <col min="1" max="1" width="18.88671875" bestFit="1" customWidth="1"/>
    <col min="2" max="2" width="16.21875" bestFit="1" customWidth="1"/>
    <col min="3" max="3" width="5" bestFit="1" customWidth="1"/>
    <col min="4" max="4" width="11.33203125" bestFit="1" customWidth="1"/>
  </cols>
  <sheetData>
    <row r="3" spans="1:4" x14ac:dyDescent="0.25">
      <c r="A3" s="15" t="s">
        <v>79</v>
      </c>
      <c r="B3" s="15" t="s">
        <v>39</v>
      </c>
    </row>
    <row r="4" spans="1:4" x14ac:dyDescent="0.25">
      <c r="A4" s="15" t="s">
        <v>37</v>
      </c>
      <c r="B4">
        <v>2016</v>
      </c>
      <c r="C4">
        <v>2017</v>
      </c>
      <c r="D4" t="s">
        <v>38</v>
      </c>
    </row>
    <row r="5" spans="1:4" x14ac:dyDescent="0.25">
      <c r="A5" s="16" t="s">
        <v>17</v>
      </c>
      <c r="C5">
        <v>2</v>
      </c>
      <c r="D5">
        <v>2</v>
      </c>
    </row>
    <row r="6" spans="1:4" x14ac:dyDescent="0.25">
      <c r="A6" s="16" t="s">
        <v>11</v>
      </c>
      <c r="B6">
        <v>3</v>
      </c>
      <c r="C6">
        <v>4</v>
      </c>
      <c r="D6">
        <v>7</v>
      </c>
    </row>
    <row r="7" spans="1:4" x14ac:dyDescent="0.25">
      <c r="A7" s="16" t="s">
        <v>12</v>
      </c>
      <c r="B7">
        <v>16</v>
      </c>
      <c r="C7">
        <v>24</v>
      </c>
      <c r="D7">
        <v>40</v>
      </c>
    </row>
    <row r="8" spans="1:4" x14ac:dyDescent="0.25">
      <c r="A8" s="16" t="s">
        <v>13</v>
      </c>
      <c r="B8">
        <v>84</v>
      </c>
      <c r="C8">
        <v>269</v>
      </c>
      <c r="D8">
        <v>353</v>
      </c>
    </row>
    <row r="9" spans="1:4" x14ac:dyDescent="0.25">
      <c r="A9" s="16" t="s">
        <v>14</v>
      </c>
      <c r="B9">
        <v>0</v>
      </c>
      <c r="C9">
        <v>0</v>
      </c>
      <c r="D9">
        <v>0</v>
      </c>
    </row>
    <row r="10" spans="1:4" x14ac:dyDescent="0.25">
      <c r="A10" s="16" t="s">
        <v>15</v>
      </c>
      <c r="B10">
        <v>0</v>
      </c>
      <c r="C10">
        <v>0</v>
      </c>
      <c r="D10">
        <v>0</v>
      </c>
    </row>
    <row r="11" spans="1:4" x14ac:dyDescent="0.25">
      <c r="A11" s="16" t="s">
        <v>16</v>
      </c>
      <c r="B11">
        <v>3</v>
      </c>
      <c r="C11">
        <v>2</v>
      </c>
      <c r="D11">
        <v>5</v>
      </c>
    </row>
    <row r="12" spans="1:4" x14ac:dyDescent="0.25">
      <c r="A12" s="16" t="s">
        <v>18</v>
      </c>
      <c r="C12">
        <v>25</v>
      </c>
      <c r="D12">
        <v>25</v>
      </c>
    </row>
    <row r="13" spans="1:4" x14ac:dyDescent="0.25">
      <c r="A13" s="16" t="s">
        <v>38</v>
      </c>
      <c r="B13">
        <v>106</v>
      </c>
      <c r="C13">
        <v>326</v>
      </c>
      <c r="D13">
        <v>432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75"/>
  <sheetViews>
    <sheetView tabSelected="1" topLeftCell="B57" workbookViewId="0">
      <selection activeCell="D25" sqref="D25"/>
    </sheetView>
  </sheetViews>
  <sheetFormatPr defaultColWidth="14.44140625" defaultRowHeight="15.75" customHeight="1" x14ac:dyDescent="0.25"/>
  <cols>
    <col min="1" max="1" width="18.88671875" style="6" bestFit="1" customWidth="1"/>
    <col min="2" max="2" width="16.21875" style="6" bestFit="1" customWidth="1"/>
    <col min="3" max="3" width="6.5546875" style="6" bestFit="1" customWidth="1"/>
    <col min="4" max="4" width="11.33203125" style="6" bestFit="1" customWidth="1"/>
    <col min="5" max="9" width="14.44140625" style="6"/>
    <col min="10" max="10" width="17.109375" style="6" bestFit="1" customWidth="1"/>
    <col min="11" max="16384" width="14.44140625" style="6"/>
  </cols>
  <sheetData>
    <row r="1" spans="1:7" ht="13.2" x14ac:dyDescent="0.25">
      <c r="A1" s="5" t="s">
        <v>0</v>
      </c>
    </row>
    <row r="2" spans="1:7" ht="13.2" x14ac:dyDescent="0.25">
      <c r="A2" s="7" t="s">
        <v>3</v>
      </c>
    </row>
    <row r="3" spans="1:7" ht="13.2" x14ac:dyDescent="0.25">
      <c r="A3" s="7"/>
    </row>
    <row r="4" spans="1:7" ht="13.2" x14ac:dyDescent="0.25">
      <c r="A4" s="29" t="s">
        <v>73</v>
      </c>
    </row>
    <row r="5" spans="1:7" ht="15.75" customHeight="1" x14ac:dyDescent="0.25">
      <c r="A5" s="29"/>
    </row>
    <row r="6" spans="1:7" ht="15.75" customHeight="1" x14ac:dyDescent="0.4">
      <c r="A6" s="11"/>
      <c r="G6" s="14" t="s">
        <v>80</v>
      </c>
    </row>
    <row r="7" spans="1:7" ht="15.75" customHeight="1" x14ac:dyDescent="0.4">
      <c r="A7" s="10"/>
      <c r="E7" s="9"/>
    </row>
    <row r="8" spans="1:7" ht="13.2" x14ac:dyDescent="0.25">
      <c r="A8" s="15" t="s">
        <v>79</v>
      </c>
      <c r="B8" s="15" t="s">
        <v>39</v>
      </c>
      <c r="C8"/>
      <c r="D8"/>
    </row>
    <row r="9" spans="1:7" ht="13.2" x14ac:dyDescent="0.25">
      <c r="A9" s="15" t="s">
        <v>37</v>
      </c>
      <c r="B9">
        <v>2016</v>
      </c>
      <c r="C9">
        <v>2017</v>
      </c>
      <c r="D9" t="s">
        <v>38</v>
      </c>
    </row>
    <row r="10" spans="1:7" ht="15.75" customHeight="1" x14ac:dyDescent="0.25">
      <c r="A10" s="16" t="s">
        <v>13</v>
      </c>
      <c r="B10">
        <v>84</v>
      </c>
      <c r="C10">
        <v>269</v>
      </c>
      <c r="D10">
        <v>353</v>
      </c>
    </row>
    <row r="11" spans="1:7" ht="15.75" customHeight="1" x14ac:dyDescent="0.25">
      <c r="A11" s="16" t="s">
        <v>12</v>
      </c>
      <c r="B11">
        <v>16</v>
      </c>
      <c r="C11">
        <v>24</v>
      </c>
      <c r="D11">
        <v>40</v>
      </c>
    </row>
    <row r="12" spans="1:7" ht="15.75" customHeight="1" x14ac:dyDescent="0.25">
      <c r="A12" s="16" t="s">
        <v>11</v>
      </c>
      <c r="B12">
        <v>3</v>
      </c>
      <c r="C12">
        <v>4</v>
      </c>
      <c r="D12">
        <v>7</v>
      </c>
    </row>
    <row r="13" spans="1:7" ht="15.75" customHeight="1" x14ac:dyDescent="0.25">
      <c r="A13" s="16" t="s">
        <v>16</v>
      </c>
      <c r="B13">
        <v>3</v>
      </c>
      <c r="C13">
        <v>2</v>
      </c>
      <c r="D13">
        <v>5</v>
      </c>
    </row>
    <row r="14" spans="1:7" ht="15.75" customHeight="1" x14ac:dyDescent="0.25">
      <c r="A14" s="16" t="s">
        <v>15</v>
      </c>
      <c r="B14">
        <v>0</v>
      </c>
      <c r="C14">
        <v>0</v>
      </c>
      <c r="D14">
        <v>0</v>
      </c>
    </row>
    <row r="15" spans="1:7" ht="15.75" customHeight="1" x14ac:dyDescent="0.25">
      <c r="A15" s="16" t="s">
        <v>18</v>
      </c>
      <c r="B15"/>
      <c r="C15">
        <v>25</v>
      </c>
      <c r="D15">
        <v>25</v>
      </c>
    </row>
    <row r="16" spans="1:7" ht="15.75" customHeight="1" x14ac:dyDescent="0.25">
      <c r="A16" s="16" t="s">
        <v>17</v>
      </c>
      <c r="B16"/>
      <c r="C16">
        <v>2</v>
      </c>
      <c r="D16">
        <v>2</v>
      </c>
    </row>
    <row r="17" spans="1:4" ht="15.75" customHeight="1" x14ac:dyDescent="0.25">
      <c r="A17" s="16" t="s">
        <v>14</v>
      </c>
      <c r="B17">
        <v>0</v>
      </c>
      <c r="C17">
        <v>0</v>
      </c>
      <c r="D17">
        <v>0</v>
      </c>
    </row>
    <row r="18" spans="1:4" ht="15.75" customHeight="1" x14ac:dyDescent="0.25">
      <c r="A18" s="16" t="s">
        <v>38</v>
      </c>
      <c r="B18">
        <v>106</v>
      </c>
      <c r="C18">
        <v>326</v>
      </c>
      <c r="D18">
        <v>432</v>
      </c>
    </row>
    <row r="25" spans="1:4" ht="15.75" customHeight="1" x14ac:dyDescent="0.25">
      <c r="A25" s="29" t="s">
        <v>74</v>
      </c>
    </row>
    <row r="26" spans="1:4" ht="15.75" customHeight="1" x14ac:dyDescent="0.25">
      <c r="A26" s="29"/>
    </row>
    <row r="27" spans="1:4" ht="15.75" customHeight="1" x14ac:dyDescent="0.4">
      <c r="A27" s="11"/>
    </row>
    <row r="28" spans="1:4" ht="15.75" customHeight="1" x14ac:dyDescent="0.4">
      <c r="A28" s="11"/>
    </row>
    <row r="29" spans="1:4" ht="15.75" customHeight="1" x14ac:dyDescent="0.25">
      <c r="A29" s="15" t="s">
        <v>36</v>
      </c>
      <c r="B29" s="15" t="s">
        <v>39</v>
      </c>
      <c r="C29"/>
      <c r="D29"/>
    </row>
    <row r="30" spans="1:4" ht="15.75" customHeight="1" x14ac:dyDescent="0.25">
      <c r="A30" s="15" t="s">
        <v>40</v>
      </c>
      <c r="B30">
        <v>2016</v>
      </c>
      <c r="C30">
        <v>2017</v>
      </c>
      <c r="D30" t="s">
        <v>38</v>
      </c>
    </row>
    <row r="31" spans="1:4" ht="15.75" customHeight="1" x14ac:dyDescent="0.25">
      <c r="A31" s="16" t="s">
        <v>24</v>
      </c>
      <c r="B31" s="17">
        <v>36692.75</v>
      </c>
      <c r="C31" s="17">
        <v>45039.25</v>
      </c>
      <c r="D31" s="17">
        <v>40866</v>
      </c>
    </row>
    <row r="32" spans="1:4" ht="15.75" customHeight="1" x14ac:dyDescent="0.25">
      <c r="A32" s="16" t="s">
        <v>28</v>
      </c>
      <c r="B32" s="17">
        <v>24619.083333333332</v>
      </c>
      <c r="C32" s="17">
        <v>26796.75</v>
      </c>
      <c r="D32" s="17">
        <v>25707.916666666668</v>
      </c>
    </row>
    <row r="33" spans="1:4" ht="15.75" customHeight="1" x14ac:dyDescent="0.25">
      <c r="A33" s="16" t="s">
        <v>31</v>
      </c>
      <c r="B33" s="17">
        <v>5545</v>
      </c>
      <c r="C33" s="17">
        <v>7404.583333333333</v>
      </c>
      <c r="D33" s="17">
        <v>6474.791666666667</v>
      </c>
    </row>
    <row r="34" spans="1:4" ht="15.75" customHeight="1" x14ac:dyDescent="0.25">
      <c r="A34" s="16" t="s">
        <v>30</v>
      </c>
      <c r="B34" s="17">
        <v>4412.083333333333</v>
      </c>
      <c r="C34" s="17">
        <v>6976.5</v>
      </c>
      <c r="D34" s="17">
        <v>5694.291666666667</v>
      </c>
    </row>
    <row r="35" spans="1:4" ht="15.75" customHeight="1" x14ac:dyDescent="0.25">
      <c r="A35" s="16" t="s">
        <v>26</v>
      </c>
      <c r="B35" s="17">
        <v>3728.75</v>
      </c>
      <c r="C35" s="17">
        <v>3941.9166666666665</v>
      </c>
      <c r="D35" s="17">
        <v>3835.3333333333335</v>
      </c>
    </row>
    <row r="36" spans="1:4" ht="15.75" customHeight="1" x14ac:dyDescent="0.25">
      <c r="A36" s="16" t="s">
        <v>25</v>
      </c>
      <c r="B36" s="17">
        <v>2220.25</v>
      </c>
      <c r="C36" s="17">
        <v>2260.3333333333335</v>
      </c>
      <c r="D36" s="17">
        <v>2240.2916666666665</v>
      </c>
    </row>
    <row r="37" spans="1:4" ht="15.75" customHeight="1" x14ac:dyDescent="0.25">
      <c r="A37" s="16" t="s">
        <v>29</v>
      </c>
      <c r="B37" s="17">
        <v>1233.8333333333333</v>
      </c>
      <c r="C37" s="17">
        <v>2252.5833333333335</v>
      </c>
      <c r="D37" s="17">
        <v>1743.2083333333333</v>
      </c>
    </row>
    <row r="38" spans="1:4" ht="15.75" customHeight="1" x14ac:dyDescent="0.25">
      <c r="A38" s="16" t="s">
        <v>35</v>
      </c>
      <c r="B38" s="17">
        <v>1009.75</v>
      </c>
      <c r="C38" s="17">
        <v>1087.3333333333333</v>
      </c>
      <c r="D38" s="17">
        <v>1048.5416666666667</v>
      </c>
    </row>
    <row r="39" spans="1:4" ht="15.75" customHeight="1" x14ac:dyDescent="0.25">
      <c r="A39" s="16" t="s">
        <v>33</v>
      </c>
      <c r="B39" s="17">
        <v>802.08333333333337</v>
      </c>
      <c r="C39" s="17">
        <v>1088.6666666666667</v>
      </c>
      <c r="D39" s="17">
        <v>945.375</v>
      </c>
    </row>
    <row r="40" spans="1:4" ht="15.75" customHeight="1" x14ac:dyDescent="0.25">
      <c r="A40" s="16" t="s">
        <v>32</v>
      </c>
      <c r="B40" s="17">
        <v>340.33333333333331</v>
      </c>
      <c r="C40" s="17">
        <v>499.33333333333331</v>
      </c>
      <c r="D40" s="17">
        <v>419.83333333333331</v>
      </c>
    </row>
    <row r="41" spans="1:4" ht="15.75" customHeight="1" x14ac:dyDescent="0.25">
      <c r="A41" s="16" t="s">
        <v>34</v>
      </c>
      <c r="B41" s="17">
        <v>135.5</v>
      </c>
      <c r="C41" s="17">
        <v>114.91666666666667</v>
      </c>
      <c r="D41" s="17">
        <v>125.20833333333333</v>
      </c>
    </row>
    <row r="42" spans="1:4" ht="15.75" customHeight="1" x14ac:dyDescent="0.25">
      <c r="A42" s="16" t="s">
        <v>27</v>
      </c>
      <c r="B42" s="17">
        <v>28.5</v>
      </c>
      <c r="C42" s="17">
        <v>24.666666666666668</v>
      </c>
      <c r="D42" s="17">
        <v>26.583333333333332</v>
      </c>
    </row>
    <row r="43" spans="1:4" ht="15.75" customHeight="1" x14ac:dyDescent="0.25">
      <c r="A43" s="16" t="s">
        <v>38</v>
      </c>
      <c r="B43" s="17">
        <v>6730.6597222222226</v>
      </c>
      <c r="C43" s="17">
        <v>8123.9027777777774</v>
      </c>
      <c r="D43" s="17">
        <v>7427.28125</v>
      </c>
    </row>
    <row r="54" spans="1:4" ht="15.75" customHeight="1" x14ac:dyDescent="0.25">
      <c r="A54" s="29" t="s">
        <v>77</v>
      </c>
    </row>
    <row r="55" spans="1:4" ht="15.75" customHeight="1" x14ac:dyDescent="0.25">
      <c r="A55" s="29"/>
    </row>
    <row r="58" spans="1:4" ht="15.75" customHeight="1" x14ac:dyDescent="0.25">
      <c r="A58" s="15" t="s">
        <v>79</v>
      </c>
      <c r="B58" s="15" t="s">
        <v>39</v>
      </c>
      <c r="C58"/>
      <c r="D58"/>
    </row>
    <row r="59" spans="1:4" ht="15.75" customHeight="1" x14ac:dyDescent="0.25">
      <c r="A59" s="15" t="s">
        <v>37</v>
      </c>
      <c r="B59">
        <v>2016</v>
      </c>
      <c r="C59">
        <v>2017</v>
      </c>
      <c r="D59" t="s">
        <v>38</v>
      </c>
    </row>
    <row r="60" spans="1:4" ht="15.75" customHeight="1" x14ac:dyDescent="0.25">
      <c r="A60" s="16" t="s">
        <v>27</v>
      </c>
      <c r="B60">
        <v>107</v>
      </c>
      <c r="C60">
        <v>100</v>
      </c>
      <c r="D60">
        <v>207</v>
      </c>
    </row>
    <row r="61" spans="1:4" ht="15.75" customHeight="1" x14ac:dyDescent="0.25">
      <c r="A61" s="16" t="s">
        <v>32</v>
      </c>
      <c r="B61">
        <v>30</v>
      </c>
      <c r="C61">
        <v>49</v>
      </c>
      <c r="D61">
        <v>79</v>
      </c>
    </row>
    <row r="62" spans="1:4" ht="15.75" customHeight="1" x14ac:dyDescent="0.25">
      <c r="A62" s="16" t="s">
        <v>29</v>
      </c>
      <c r="B62">
        <v>33</v>
      </c>
      <c r="C62">
        <v>46</v>
      </c>
      <c r="D62">
        <v>79</v>
      </c>
    </row>
    <row r="63" spans="1:4" ht="15.75" customHeight="1" x14ac:dyDescent="0.25">
      <c r="A63" s="16" t="s">
        <v>35</v>
      </c>
      <c r="B63">
        <v>11</v>
      </c>
      <c r="C63">
        <v>13</v>
      </c>
      <c r="D63">
        <v>24</v>
      </c>
    </row>
    <row r="64" spans="1:4" ht="15.75" customHeight="1" x14ac:dyDescent="0.25">
      <c r="A64" s="16" t="s">
        <v>33</v>
      </c>
      <c r="B64">
        <v>14</v>
      </c>
      <c r="C64">
        <v>3</v>
      </c>
      <c r="D64">
        <v>17</v>
      </c>
    </row>
    <row r="65" spans="1:4" ht="15.75" customHeight="1" x14ac:dyDescent="0.25">
      <c r="A65" s="16" t="s">
        <v>30</v>
      </c>
      <c r="B65">
        <v>6</v>
      </c>
      <c r="C65">
        <v>7</v>
      </c>
      <c r="D65">
        <v>13</v>
      </c>
    </row>
    <row r="66" spans="1:4" ht="15.75" customHeight="1" x14ac:dyDescent="0.25">
      <c r="A66" s="16" t="s">
        <v>24</v>
      </c>
      <c r="B66">
        <v>3</v>
      </c>
      <c r="C66">
        <v>3</v>
      </c>
      <c r="D66">
        <v>6</v>
      </c>
    </row>
    <row r="67" spans="1:4" ht="15.75" customHeight="1" x14ac:dyDescent="0.25">
      <c r="A67" s="16" t="s">
        <v>31</v>
      </c>
      <c r="B67">
        <v>3</v>
      </c>
      <c r="C67">
        <v>3</v>
      </c>
      <c r="D67">
        <v>6</v>
      </c>
    </row>
    <row r="68" spans="1:4" ht="15.75" customHeight="1" x14ac:dyDescent="0.25">
      <c r="A68" s="16" t="s">
        <v>26</v>
      </c>
      <c r="B68">
        <v>3</v>
      </c>
      <c r="C68">
        <v>2</v>
      </c>
      <c r="D68">
        <v>5</v>
      </c>
    </row>
    <row r="69" spans="1:4" ht="15.75" customHeight="1" x14ac:dyDescent="0.25">
      <c r="A69" s="16" t="s">
        <v>28</v>
      </c>
      <c r="B69">
        <v>3</v>
      </c>
      <c r="C69">
        <v>2</v>
      </c>
      <c r="D69">
        <v>5</v>
      </c>
    </row>
    <row r="70" spans="1:4" ht="15.75" customHeight="1" x14ac:dyDescent="0.25">
      <c r="A70" s="16" t="s">
        <v>25</v>
      </c>
      <c r="B70">
        <v>0</v>
      </c>
      <c r="C70">
        <v>0</v>
      </c>
      <c r="D70">
        <v>0</v>
      </c>
    </row>
    <row r="71" spans="1:4" ht="15.75" customHeight="1" x14ac:dyDescent="0.25">
      <c r="A71" s="16" t="s">
        <v>34</v>
      </c>
      <c r="B71">
        <v>0</v>
      </c>
      <c r="C71">
        <v>0</v>
      </c>
      <c r="D71">
        <v>0</v>
      </c>
    </row>
    <row r="72" spans="1:4" ht="15.75" customHeight="1" x14ac:dyDescent="0.25">
      <c r="A72" s="16" t="s">
        <v>38</v>
      </c>
      <c r="B72">
        <v>213</v>
      </c>
      <c r="C72">
        <v>228</v>
      </c>
      <c r="D72">
        <v>441</v>
      </c>
    </row>
    <row r="73" spans="1:4" ht="15.75" customHeight="1" x14ac:dyDescent="0.25">
      <c r="A73"/>
      <c r="B73"/>
      <c r="C73"/>
    </row>
    <row r="74" spans="1:4" ht="15.75" customHeight="1" x14ac:dyDescent="0.25">
      <c r="A74"/>
      <c r="B74"/>
      <c r="C74"/>
    </row>
    <row r="75" spans="1:4" ht="15.75" customHeight="1" x14ac:dyDescent="0.25">
      <c r="A75"/>
      <c r="B75"/>
      <c r="C75"/>
    </row>
  </sheetData>
  <mergeCells count="3">
    <mergeCell ref="A54:A55"/>
    <mergeCell ref="A4:A5"/>
    <mergeCell ref="A25:A26"/>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9E14E-E49A-4441-8274-88DEFE8FBBDA}">
  <dimension ref="A1:S289"/>
  <sheetViews>
    <sheetView topLeftCell="D1" zoomScale="87" workbookViewId="0">
      <selection activeCell="R3" sqref="R3:S7"/>
    </sheetView>
  </sheetViews>
  <sheetFormatPr defaultRowHeight="13.2" x14ac:dyDescent="0.25"/>
  <cols>
    <col min="1" max="1" width="7" bestFit="1" customWidth="1"/>
    <col min="2" max="2" width="8.77734375" bestFit="1" customWidth="1"/>
    <col min="3" max="3" width="24" bestFit="1" customWidth="1"/>
    <col min="4" max="4" width="21.44140625" bestFit="1" customWidth="1"/>
    <col min="7" max="7" width="30.6640625" bestFit="1" customWidth="1"/>
    <col min="8" max="8" width="17" bestFit="1" customWidth="1"/>
    <col min="9" max="9" width="6.5546875" bestFit="1" customWidth="1"/>
    <col min="10" max="10" width="11.5546875" bestFit="1" customWidth="1"/>
    <col min="18" max="18" width="13.88671875" bestFit="1" customWidth="1"/>
    <col min="19" max="19" width="30.6640625" bestFit="1" customWidth="1"/>
  </cols>
  <sheetData>
    <row r="1" spans="1:19" x14ac:dyDescent="0.25">
      <c r="A1" t="s">
        <v>9</v>
      </c>
      <c r="B1" t="s">
        <v>21</v>
      </c>
      <c r="C1" t="s">
        <v>22</v>
      </c>
      <c r="D1" t="s">
        <v>23</v>
      </c>
    </row>
    <row r="2" spans="1:19" x14ac:dyDescent="0.25">
      <c r="A2">
        <v>2016</v>
      </c>
      <c r="B2">
        <v>1</v>
      </c>
      <c r="C2" t="s">
        <v>24</v>
      </c>
      <c r="D2">
        <v>29957</v>
      </c>
      <c r="G2" s="15" t="s">
        <v>36</v>
      </c>
      <c r="H2" s="15" t="s">
        <v>39</v>
      </c>
    </row>
    <row r="3" spans="1:19" x14ac:dyDescent="0.25">
      <c r="A3">
        <v>2016</v>
      </c>
      <c r="B3">
        <v>1</v>
      </c>
      <c r="C3" t="s">
        <v>25</v>
      </c>
      <c r="D3">
        <v>2140</v>
      </c>
      <c r="G3" s="15" t="s">
        <v>37</v>
      </c>
      <c r="H3">
        <v>2016</v>
      </c>
      <c r="I3">
        <v>2017</v>
      </c>
      <c r="J3" t="s">
        <v>38</v>
      </c>
      <c r="R3" s="8" t="s">
        <v>41</v>
      </c>
    </row>
    <row r="4" spans="1:19" x14ac:dyDescent="0.25">
      <c r="A4">
        <v>2016</v>
      </c>
      <c r="B4">
        <v>1</v>
      </c>
      <c r="C4" t="s">
        <v>26</v>
      </c>
      <c r="D4">
        <v>3633</v>
      </c>
      <c r="G4" s="16" t="s">
        <v>24</v>
      </c>
      <c r="H4" s="17">
        <v>36692.75</v>
      </c>
      <c r="I4" s="17">
        <v>45039.25</v>
      </c>
      <c r="J4" s="17">
        <v>40866</v>
      </c>
      <c r="R4" s="15" t="s">
        <v>37</v>
      </c>
      <c r="S4" t="s">
        <v>36</v>
      </c>
    </row>
    <row r="5" spans="1:19" x14ac:dyDescent="0.25">
      <c r="A5">
        <v>2016</v>
      </c>
      <c r="B5">
        <v>1</v>
      </c>
      <c r="C5" t="s">
        <v>27</v>
      </c>
      <c r="D5">
        <v>19</v>
      </c>
      <c r="G5" s="16" t="s">
        <v>25</v>
      </c>
      <c r="H5" s="17">
        <v>2220.25</v>
      </c>
      <c r="I5" s="17">
        <v>2260.3333333333335</v>
      </c>
      <c r="J5" s="17">
        <v>2240.2916666666665</v>
      </c>
      <c r="R5" s="16">
        <v>2016</v>
      </c>
      <c r="S5">
        <v>6730.6597222222226</v>
      </c>
    </row>
    <row r="6" spans="1:19" x14ac:dyDescent="0.25">
      <c r="A6">
        <v>2016</v>
      </c>
      <c r="B6">
        <v>1</v>
      </c>
      <c r="C6" t="s">
        <v>28</v>
      </c>
      <c r="D6">
        <v>16402</v>
      </c>
      <c r="G6" s="16" t="s">
        <v>26</v>
      </c>
      <c r="H6" s="17">
        <v>3728.75</v>
      </c>
      <c r="I6" s="17">
        <v>3941.9166666666665</v>
      </c>
      <c r="J6" s="17">
        <v>3835.3333333333335</v>
      </c>
      <c r="R6" s="16">
        <v>2017</v>
      </c>
      <c r="S6">
        <v>8123.9027777777774</v>
      </c>
    </row>
    <row r="7" spans="1:19" x14ac:dyDescent="0.25">
      <c r="A7">
        <v>2016</v>
      </c>
      <c r="B7">
        <v>1</v>
      </c>
      <c r="C7" t="s">
        <v>29</v>
      </c>
      <c r="D7">
        <v>438</v>
      </c>
      <c r="G7" s="16" t="s">
        <v>27</v>
      </c>
      <c r="H7" s="17">
        <v>28.5</v>
      </c>
      <c r="I7" s="17">
        <v>24.666666666666668</v>
      </c>
      <c r="J7" s="17">
        <v>26.583333333333332</v>
      </c>
      <c r="R7" s="16" t="s">
        <v>38</v>
      </c>
      <c r="S7">
        <v>7427.28125</v>
      </c>
    </row>
    <row r="8" spans="1:19" x14ac:dyDescent="0.25">
      <c r="A8">
        <v>2016</v>
      </c>
      <c r="B8">
        <v>1</v>
      </c>
      <c r="C8" t="s">
        <v>30</v>
      </c>
      <c r="D8">
        <v>4072</v>
      </c>
      <c r="G8" s="16" t="s">
        <v>28</v>
      </c>
      <c r="H8" s="17">
        <v>24619.083333333332</v>
      </c>
      <c r="I8" s="17">
        <v>26796.75</v>
      </c>
      <c r="J8" s="17">
        <v>25707.916666666668</v>
      </c>
    </row>
    <row r="9" spans="1:19" x14ac:dyDescent="0.25">
      <c r="A9">
        <v>2016</v>
      </c>
      <c r="B9">
        <v>1</v>
      </c>
      <c r="C9" t="s">
        <v>31</v>
      </c>
      <c r="D9">
        <v>4216</v>
      </c>
      <c r="G9" s="16" t="s">
        <v>29</v>
      </c>
      <c r="H9" s="17">
        <v>1233.8333333333333</v>
      </c>
      <c r="I9" s="17">
        <v>2252.5833333333335</v>
      </c>
      <c r="J9" s="17">
        <v>1743.2083333333333</v>
      </c>
    </row>
    <row r="10" spans="1:19" x14ac:dyDescent="0.25">
      <c r="A10">
        <v>2016</v>
      </c>
      <c r="B10">
        <v>1</v>
      </c>
      <c r="C10" t="s">
        <v>32</v>
      </c>
      <c r="D10">
        <v>452</v>
      </c>
      <c r="G10" s="16" t="s">
        <v>30</v>
      </c>
      <c r="H10" s="17">
        <v>4412.083333333333</v>
      </c>
      <c r="I10" s="17">
        <v>6976.5</v>
      </c>
      <c r="J10" s="17">
        <v>5694.291666666667</v>
      </c>
    </row>
    <row r="11" spans="1:19" x14ac:dyDescent="0.25">
      <c r="A11">
        <v>2016</v>
      </c>
      <c r="B11">
        <v>1</v>
      </c>
      <c r="C11" t="s">
        <v>33</v>
      </c>
      <c r="D11">
        <v>598</v>
      </c>
      <c r="G11" s="16" t="s">
        <v>31</v>
      </c>
      <c r="H11" s="17">
        <v>5545</v>
      </c>
      <c r="I11" s="17">
        <v>7404.583333333333</v>
      </c>
      <c r="J11" s="17">
        <v>6474.791666666667</v>
      </c>
    </row>
    <row r="12" spans="1:19" x14ac:dyDescent="0.25">
      <c r="A12">
        <v>2016</v>
      </c>
      <c r="B12">
        <v>1</v>
      </c>
      <c r="C12" t="s">
        <v>34</v>
      </c>
      <c r="D12">
        <v>42</v>
      </c>
      <c r="G12" s="16" t="s">
        <v>32</v>
      </c>
      <c r="H12" s="17">
        <v>340.33333333333331</v>
      </c>
      <c r="I12" s="17">
        <v>499.33333333333331</v>
      </c>
      <c r="J12" s="17">
        <v>419.83333333333331</v>
      </c>
    </row>
    <row r="13" spans="1:19" x14ac:dyDescent="0.25">
      <c r="A13">
        <v>2016</v>
      </c>
      <c r="B13">
        <v>1</v>
      </c>
      <c r="C13" t="s">
        <v>35</v>
      </c>
      <c r="D13">
        <v>1095</v>
      </c>
      <c r="G13" s="16" t="s">
        <v>33</v>
      </c>
      <c r="H13" s="17">
        <v>802.08333333333337</v>
      </c>
      <c r="I13" s="17">
        <v>1088.6666666666667</v>
      </c>
      <c r="J13" s="17">
        <v>945.375</v>
      </c>
    </row>
    <row r="14" spans="1:19" x14ac:dyDescent="0.25">
      <c r="A14">
        <v>2016</v>
      </c>
      <c r="B14">
        <v>2</v>
      </c>
      <c r="C14" t="s">
        <v>24</v>
      </c>
      <c r="D14">
        <v>31472</v>
      </c>
      <c r="G14" s="16" t="s">
        <v>34</v>
      </c>
      <c r="H14" s="17">
        <v>135.5</v>
      </c>
      <c r="I14" s="17">
        <v>114.91666666666667</v>
      </c>
      <c r="J14" s="17">
        <v>125.20833333333333</v>
      </c>
    </row>
    <row r="15" spans="1:19" x14ac:dyDescent="0.25">
      <c r="A15">
        <v>2016</v>
      </c>
      <c r="B15">
        <v>2</v>
      </c>
      <c r="C15" t="s">
        <v>25</v>
      </c>
      <c r="D15">
        <v>1903</v>
      </c>
      <c r="G15" s="16" t="s">
        <v>35</v>
      </c>
      <c r="H15" s="17">
        <v>1009.75</v>
      </c>
      <c r="I15" s="17">
        <v>1087.3333333333333</v>
      </c>
      <c r="J15" s="17">
        <v>1048.5416666666667</v>
      </c>
    </row>
    <row r="16" spans="1:19" x14ac:dyDescent="0.25">
      <c r="A16">
        <v>2016</v>
      </c>
      <c r="B16">
        <v>2</v>
      </c>
      <c r="C16" t="s">
        <v>26</v>
      </c>
      <c r="D16">
        <v>3543</v>
      </c>
      <c r="G16" s="16" t="s">
        <v>38</v>
      </c>
      <c r="H16" s="17">
        <v>6730.6597222222226</v>
      </c>
      <c r="I16" s="17">
        <v>8123.9027777777774</v>
      </c>
      <c r="J16" s="17">
        <v>7427.28125</v>
      </c>
    </row>
    <row r="17" spans="1:4" x14ac:dyDescent="0.25">
      <c r="A17">
        <v>2016</v>
      </c>
      <c r="B17">
        <v>2</v>
      </c>
      <c r="C17" t="s">
        <v>27</v>
      </c>
      <c r="D17">
        <v>25</v>
      </c>
    </row>
    <row r="18" spans="1:4" x14ac:dyDescent="0.25">
      <c r="A18">
        <v>2016</v>
      </c>
      <c r="B18">
        <v>2</v>
      </c>
      <c r="C18" t="s">
        <v>28</v>
      </c>
      <c r="D18">
        <v>22884</v>
      </c>
    </row>
    <row r="19" spans="1:4" x14ac:dyDescent="0.25">
      <c r="A19">
        <v>2016</v>
      </c>
      <c r="B19">
        <v>2</v>
      </c>
      <c r="C19" t="s">
        <v>29</v>
      </c>
      <c r="D19">
        <v>422</v>
      </c>
    </row>
    <row r="20" spans="1:4" x14ac:dyDescent="0.25">
      <c r="A20">
        <v>2016</v>
      </c>
      <c r="B20">
        <v>2</v>
      </c>
      <c r="C20" t="s">
        <v>30</v>
      </c>
      <c r="D20">
        <v>3904</v>
      </c>
    </row>
    <row r="21" spans="1:4" x14ac:dyDescent="0.25">
      <c r="A21">
        <v>2016</v>
      </c>
      <c r="B21">
        <v>2</v>
      </c>
      <c r="C21" t="s">
        <v>31</v>
      </c>
      <c r="D21">
        <v>4515</v>
      </c>
    </row>
    <row r="22" spans="1:4" x14ac:dyDescent="0.25">
      <c r="A22">
        <v>2016</v>
      </c>
      <c r="B22">
        <v>2</v>
      </c>
      <c r="C22" t="s">
        <v>32</v>
      </c>
      <c r="D22">
        <v>326</v>
      </c>
    </row>
    <row r="23" spans="1:4" x14ac:dyDescent="0.25">
      <c r="A23">
        <v>2016</v>
      </c>
      <c r="B23">
        <v>2</v>
      </c>
      <c r="C23" t="s">
        <v>33</v>
      </c>
      <c r="D23">
        <v>573</v>
      </c>
    </row>
    <row r="24" spans="1:4" x14ac:dyDescent="0.25">
      <c r="A24">
        <v>2016</v>
      </c>
      <c r="B24">
        <v>2</v>
      </c>
      <c r="C24" t="s">
        <v>34</v>
      </c>
      <c r="D24">
        <v>104</v>
      </c>
    </row>
    <row r="25" spans="1:4" x14ac:dyDescent="0.25">
      <c r="A25">
        <v>2016</v>
      </c>
      <c r="B25">
        <v>2</v>
      </c>
      <c r="C25" t="s">
        <v>35</v>
      </c>
      <c r="D25">
        <v>1233</v>
      </c>
    </row>
    <row r="26" spans="1:4" x14ac:dyDescent="0.25">
      <c r="A26">
        <v>2016</v>
      </c>
      <c r="B26">
        <v>3</v>
      </c>
      <c r="C26" t="s">
        <v>24</v>
      </c>
      <c r="D26">
        <v>35573</v>
      </c>
    </row>
    <row r="27" spans="1:4" x14ac:dyDescent="0.25">
      <c r="A27">
        <v>2016</v>
      </c>
      <c r="B27">
        <v>3</v>
      </c>
      <c r="C27" t="s">
        <v>25</v>
      </c>
      <c r="D27">
        <v>1989</v>
      </c>
    </row>
    <row r="28" spans="1:4" x14ac:dyDescent="0.25">
      <c r="A28">
        <v>2016</v>
      </c>
      <c r="B28">
        <v>3</v>
      </c>
      <c r="C28" t="s">
        <v>26</v>
      </c>
      <c r="D28">
        <v>3868</v>
      </c>
    </row>
    <row r="29" spans="1:4" x14ac:dyDescent="0.25">
      <c r="A29">
        <v>2016</v>
      </c>
      <c r="B29">
        <v>3</v>
      </c>
      <c r="C29" t="s">
        <v>27</v>
      </c>
      <c r="D29">
        <v>32</v>
      </c>
    </row>
    <row r="30" spans="1:4" x14ac:dyDescent="0.25">
      <c r="A30">
        <v>2016</v>
      </c>
      <c r="B30">
        <v>3</v>
      </c>
      <c r="C30" t="s">
        <v>28</v>
      </c>
      <c r="D30">
        <v>26400</v>
      </c>
    </row>
    <row r="31" spans="1:4" x14ac:dyDescent="0.25">
      <c r="A31">
        <v>2016</v>
      </c>
      <c r="B31">
        <v>3</v>
      </c>
      <c r="C31" t="s">
        <v>29</v>
      </c>
      <c r="D31">
        <v>720</v>
      </c>
    </row>
    <row r="32" spans="1:4" x14ac:dyDescent="0.25">
      <c r="A32">
        <v>2016</v>
      </c>
      <c r="B32">
        <v>3</v>
      </c>
      <c r="C32" t="s">
        <v>30</v>
      </c>
      <c r="D32">
        <v>4060</v>
      </c>
    </row>
    <row r="33" spans="1:4" x14ac:dyDescent="0.25">
      <c r="A33">
        <v>2016</v>
      </c>
      <c r="B33">
        <v>3</v>
      </c>
      <c r="C33" t="s">
        <v>31</v>
      </c>
      <c r="D33">
        <v>5215</v>
      </c>
    </row>
    <row r="34" spans="1:4" x14ac:dyDescent="0.25">
      <c r="A34">
        <v>2016</v>
      </c>
      <c r="B34">
        <v>3</v>
      </c>
      <c r="C34" t="s">
        <v>32</v>
      </c>
      <c r="D34">
        <v>346</v>
      </c>
    </row>
    <row r="35" spans="1:4" x14ac:dyDescent="0.25">
      <c r="A35">
        <v>2016</v>
      </c>
      <c r="B35">
        <v>3</v>
      </c>
      <c r="C35" t="s">
        <v>33</v>
      </c>
      <c r="D35">
        <v>541</v>
      </c>
    </row>
    <row r="36" spans="1:4" x14ac:dyDescent="0.25">
      <c r="A36">
        <v>2016</v>
      </c>
      <c r="B36">
        <v>3</v>
      </c>
      <c r="C36" t="s">
        <v>34</v>
      </c>
      <c r="D36">
        <v>112</v>
      </c>
    </row>
    <row r="37" spans="1:4" x14ac:dyDescent="0.25">
      <c r="A37">
        <v>2016</v>
      </c>
      <c r="B37">
        <v>3</v>
      </c>
      <c r="C37" t="s">
        <v>35</v>
      </c>
      <c r="D37">
        <v>1033</v>
      </c>
    </row>
    <row r="38" spans="1:4" x14ac:dyDescent="0.25">
      <c r="A38">
        <v>2016</v>
      </c>
      <c r="B38">
        <v>4</v>
      </c>
      <c r="C38" t="s">
        <v>24</v>
      </c>
      <c r="D38">
        <v>34335</v>
      </c>
    </row>
    <row r="39" spans="1:4" x14ac:dyDescent="0.25">
      <c r="A39">
        <v>2016</v>
      </c>
      <c r="B39">
        <v>4</v>
      </c>
      <c r="C39" t="s">
        <v>25</v>
      </c>
      <c r="D39">
        <v>2178</v>
      </c>
    </row>
    <row r="40" spans="1:4" x14ac:dyDescent="0.25">
      <c r="A40">
        <v>2016</v>
      </c>
      <c r="B40">
        <v>4</v>
      </c>
      <c r="C40" t="s">
        <v>26</v>
      </c>
      <c r="D40">
        <v>3437</v>
      </c>
    </row>
    <row r="41" spans="1:4" x14ac:dyDescent="0.25">
      <c r="A41">
        <v>2016</v>
      </c>
      <c r="B41">
        <v>4</v>
      </c>
      <c r="C41" t="s">
        <v>27</v>
      </c>
      <c r="D41">
        <v>42</v>
      </c>
    </row>
    <row r="42" spans="1:4" x14ac:dyDescent="0.25">
      <c r="A42">
        <v>2016</v>
      </c>
      <c r="B42">
        <v>4</v>
      </c>
      <c r="C42" t="s">
        <v>28</v>
      </c>
      <c r="D42">
        <v>22512</v>
      </c>
    </row>
    <row r="43" spans="1:4" x14ac:dyDescent="0.25">
      <c r="A43">
        <v>2016</v>
      </c>
      <c r="B43">
        <v>4</v>
      </c>
      <c r="C43" t="s">
        <v>29</v>
      </c>
      <c r="D43">
        <v>863</v>
      </c>
    </row>
    <row r="44" spans="1:4" x14ac:dyDescent="0.25">
      <c r="A44">
        <v>2016</v>
      </c>
      <c r="B44">
        <v>4</v>
      </c>
      <c r="C44" t="s">
        <v>30</v>
      </c>
      <c r="D44">
        <v>3834</v>
      </c>
    </row>
    <row r="45" spans="1:4" x14ac:dyDescent="0.25">
      <c r="A45">
        <v>2016</v>
      </c>
      <c r="B45">
        <v>4</v>
      </c>
      <c r="C45" t="s">
        <v>31</v>
      </c>
      <c r="D45">
        <v>5154</v>
      </c>
    </row>
    <row r="46" spans="1:4" x14ac:dyDescent="0.25">
      <c r="A46">
        <v>2016</v>
      </c>
      <c r="B46">
        <v>4</v>
      </c>
      <c r="C46" t="s">
        <v>32</v>
      </c>
      <c r="D46">
        <v>362</v>
      </c>
    </row>
    <row r="47" spans="1:4" x14ac:dyDescent="0.25">
      <c r="A47">
        <v>2016</v>
      </c>
      <c r="B47">
        <v>4</v>
      </c>
      <c r="C47" t="s">
        <v>33</v>
      </c>
      <c r="D47">
        <v>686</v>
      </c>
    </row>
    <row r="48" spans="1:4" x14ac:dyDescent="0.25">
      <c r="A48">
        <v>2016</v>
      </c>
      <c r="B48">
        <v>4</v>
      </c>
      <c r="C48" t="s">
        <v>34</v>
      </c>
      <c r="D48">
        <v>132</v>
      </c>
    </row>
    <row r="49" spans="1:4" x14ac:dyDescent="0.25">
      <c r="A49">
        <v>2016</v>
      </c>
      <c r="B49">
        <v>4</v>
      </c>
      <c r="C49" t="s">
        <v>35</v>
      </c>
      <c r="D49">
        <v>1125</v>
      </c>
    </row>
    <row r="50" spans="1:4" x14ac:dyDescent="0.25">
      <c r="A50">
        <v>2016</v>
      </c>
      <c r="B50">
        <v>5</v>
      </c>
      <c r="C50" t="s">
        <v>24</v>
      </c>
      <c r="D50">
        <v>37591</v>
      </c>
    </row>
    <row r="51" spans="1:4" x14ac:dyDescent="0.25">
      <c r="A51">
        <v>2016</v>
      </c>
      <c r="B51">
        <v>5</v>
      </c>
      <c r="C51" t="s">
        <v>25</v>
      </c>
      <c r="D51">
        <v>2459</v>
      </c>
    </row>
    <row r="52" spans="1:4" x14ac:dyDescent="0.25">
      <c r="A52">
        <v>2016</v>
      </c>
      <c r="B52">
        <v>5</v>
      </c>
      <c r="C52" t="s">
        <v>26</v>
      </c>
      <c r="D52">
        <v>3847</v>
      </c>
    </row>
    <row r="53" spans="1:4" x14ac:dyDescent="0.25">
      <c r="A53">
        <v>2016</v>
      </c>
      <c r="B53">
        <v>5</v>
      </c>
      <c r="C53" t="s">
        <v>27</v>
      </c>
      <c r="D53">
        <v>24</v>
      </c>
    </row>
    <row r="54" spans="1:4" x14ac:dyDescent="0.25">
      <c r="A54">
        <v>2016</v>
      </c>
      <c r="B54">
        <v>5</v>
      </c>
      <c r="C54" t="s">
        <v>28</v>
      </c>
      <c r="D54">
        <v>25936</v>
      </c>
    </row>
    <row r="55" spans="1:4" x14ac:dyDescent="0.25">
      <c r="A55">
        <v>2016</v>
      </c>
      <c r="B55">
        <v>5</v>
      </c>
      <c r="C55" t="s">
        <v>29</v>
      </c>
      <c r="D55">
        <v>1235</v>
      </c>
    </row>
    <row r="56" spans="1:4" x14ac:dyDescent="0.25">
      <c r="A56">
        <v>2016</v>
      </c>
      <c r="B56">
        <v>5</v>
      </c>
      <c r="C56" t="s">
        <v>30</v>
      </c>
      <c r="D56">
        <v>4167</v>
      </c>
    </row>
    <row r="57" spans="1:4" x14ac:dyDescent="0.25">
      <c r="A57">
        <v>2016</v>
      </c>
      <c r="B57">
        <v>5</v>
      </c>
      <c r="C57" t="s">
        <v>31</v>
      </c>
      <c r="D57">
        <v>5314</v>
      </c>
    </row>
    <row r="58" spans="1:4" x14ac:dyDescent="0.25">
      <c r="A58">
        <v>2016</v>
      </c>
      <c r="B58">
        <v>5</v>
      </c>
      <c r="C58" t="s">
        <v>32</v>
      </c>
      <c r="D58">
        <v>234</v>
      </c>
    </row>
    <row r="59" spans="1:4" x14ac:dyDescent="0.25">
      <c r="A59">
        <v>2016</v>
      </c>
      <c r="B59">
        <v>5</v>
      </c>
      <c r="C59" t="s">
        <v>33</v>
      </c>
      <c r="D59">
        <v>620</v>
      </c>
    </row>
    <row r="60" spans="1:4" x14ac:dyDescent="0.25">
      <c r="A60">
        <v>2016</v>
      </c>
      <c r="B60">
        <v>5</v>
      </c>
      <c r="C60" t="s">
        <v>34</v>
      </c>
      <c r="D60">
        <v>177</v>
      </c>
    </row>
    <row r="61" spans="1:4" x14ac:dyDescent="0.25">
      <c r="A61">
        <v>2016</v>
      </c>
      <c r="B61">
        <v>5</v>
      </c>
      <c r="C61" t="s">
        <v>35</v>
      </c>
      <c r="D61">
        <v>789</v>
      </c>
    </row>
    <row r="62" spans="1:4" x14ac:dyDescent="0.25">
      <c r="A62">
        <v>2016</v>
      </c>
      <c r="B62">
        <v>6</v>
      </c>
      <c r="C62" t="s">
        <v>24</v>
      </c>
      <c r="D62">
        <v>40653</v>
      </c>
    </row>
    <row r="63" spans="1:4" x14ac:dyDescent="0.25">
      <c r="A63">
        <v>2016</v>
      </c>
      <c r="B63">
        <v>6</v>
      </c>
      <c r="C63" t="s">
        <v>25</v>
      </c>
      <c r="D63">
        <v>2615</v>
      </c>
    </row>
    <row r="64" spans="1:4" x14ac:dyDescent="0.25">
      <c r="A64">
        <v>2016</v>
      </c>
      <c r="B64">
        <v>6</v>
      </c>
      <c r="C64" t="s">
        <v>26</v>
      </c>
      <c r="D64">
        <v>4033</v>
      </c>
    </row>
    <row r="65" spans="1:4" x14ac:dyDescent="0.25">
      <c r="A65">
        <v>2016</v>
      </c>
      <c r="B65">
        <v>6</v>
      </c>
      <c r="C65" t="s">
        <v>27</v>
      </c>
      <c r="D65">
        <v>34</v>
      </c>
    </row>
    <row r="66" spans="1:4" x14ac:dyDescent="0.25">
      <c r="A66">
        <v>2016</v>
      </c>
      <c r="B66">
        <v>6</v>
      </c>
      <c r="C66" t="s">
        <v>28</v>
      </c>
      <c r="D66">
        <v>24935</v>
      </c>
    </row>
    <row r="67" spans="1:4" x14ac:dyDescent="0.25">
      <c r="A67">
        <v>2016</v>
      </c>
      <c r="B67">
        <v>6</v>
      </c>
      <c r="C67" t="s">
        <v>29</v>
      </c>
      <c r="D67">
        <v>1304</v>
      </c>
    </row>
    <row r="68" spans="1:4" x14ac:dyDescent="0.25">
      <c r="A68">
        <v>2016</v>
      </c>
      <c r="B68">
        <v>6</v>
      </c>
      <c r="C68" t="s">
        <v>30</v>
      </c>
      <c r="D68">
        <v>4347</v>
      </c>
    </row>
    <row r="69" spans="1:4" x14ac:dyDescent="0.25">
      <c r="A69">
        <v>2016</v>
      </c>
      <c r="B69">
        <v>6</v>
      </c>
      <c r="C69" t="s">
        <v>31</v>
      </c>
      <c r="D69">
        <v>6158</v>
      </c>
    </row>
    <row r="70" spans="1:4" x14ac:dyDescent="0.25">
      <c r="A70">
        <v>2016</v>
      </c>
      <c r="B70">
        <v>6</v>
      </c>
      <c r="C70" t="s">
        <v>32</v>
      </c>
      <c r="D70">
        <v>299</v>
      </c>
    </row>
    <row r="71" spans="1:4" x14ac:dyDescent="0.25">
      <c r="A71">
        <v>2016</v>
      </c>
      <c r="B71">
        <v>6</v>
      </c>
      <c r="C71" t="s">
        <v>33</v>
      </c>
      <c r="D71">
        <v>890</v>
      </c>
    </row>
    <row r="72" spans="1:4" x14ac:dyDescent="0.25">
      <c r="A72">
        <v>2016</v>
      </c>
      <c r="B72">
        <v>6</v>
      </c>
      <c r="C72" t="s">
        <v>34</v>
      </c>
      <c r="D72">
        <v>219</v>
      </c>
    </row>
    <row r="73" spans="1:4" x14ac:dyDescent="0.25">
      <c r="A73">
        <v>2016</v>
      </c>
      <c r="B73">
        <v>6</v>
      </c>
      <c r="C73" t="s">
        <v>35</v>
      </c>
      <c r="D73">
        <v>821</v>
      </c>
    </row>
    <row r="74" spans="1:4" x14ac:dyDescent="0.25">
      <c r="A74">
        <v>2016</v>
      </c>
      <c r="B74">
        <v>7</v>
      </c>
      <c r="C74" t="s">
        <v>24</v>
      </c>
      <c r="D74">
        <v>41026</v>
      </c>
    </row>
    <row r="75" spans="1:4" x14ac:dyDescent="0.25">
      <c r="A75">
        <v>2016</v>
      </c>
      <c r="B75">
        <v>7</v>
      </c>
      <c r="C75" t="s">
        <v>25</v>
      </c>
      <c r="D75">
        <v>2452</v>
      </c>
    </row>
    <row r="76" spans="1:4" x14ac:dyDescent="0.25">
      <c r="A76">
        <v>2016</v>
      </c>
      <c r="B76">
        <v>7</v>
      </c>
      <c r="C76" t="s">
        <v>26</v>
      </c>
      <c r="D76">
        <v>3773</v>
      </c>
    </row>
    <row r="77" spans="1:4" x14ac:dyDescent="0.25">
      <c r="A77">
        <v>2016</v>
      </c>
      <c r="B77">
        <v>7</v>
      </c>
      <c r="C77" t="s">
        <v>27</v>
      </c>
      <c r="D77">
        <v>24</v>
      </c>
    </row>
    <row r="78" spans="1:4" x14ac:dyDescent="0.25">
      <c r="A78">
        <v>2016</v>
      </c>
      <c r="B78">
        <v>7</v>
      </c>
      <c r="C78" t="s">
        <v>28</v>
      </c>
      <c r="D78">
        <v>30095</v>
      </c>
    </row>
    <row r="79" spans="1:4" x14ac:dyDescent="0.25">
      <c r="A79">
        <v>2016</v>
      </c>
      <c r="B79">
        <v>7</v>
      </c>
      <c r="C79" t="s">
        <v>29</v>
      </c>
      <c r="D79">
        <v>1500</v>
      </c>
    </row>
    <row r="80" spans="1:4" x14ac:dyDescent="0.25">
      <c r="A80">
        <v>2016</v>
      </c>
      <c r="B80">
        <v>7</v>
      </c>
      <c r="C80" t="s">
        <v>30</v>
      </c>
      <c r="D80">
        <v>4429</v>
      </c>
    </row>
    <row r="81" spans="1:4" x14ac:dyDescent="0.25">
      <c r="A81">
        <v>2016</v>
      </c>
      <c r="B81">
        <v>7</v>
      </c>
      <c r="C81" t="s">
        <v>31</v>
      </c>
      <c r="D81">
        <v>6263</v>
      </c>
    </row>
    <row r="82" spans="1:4" x14ac:dyDescent="0.25">
      <c r="A82">
        <v>2016</v>
      </c>
      <c r="B82">
        <v>7</v>
      </c>
      <c r="C82" t="s">
        <v>32</v>
      </c>
      <c r="D82">
        <v>277</v>
      </c>
    </row>
    <row r="83" spans="1:4" x14ac:dyDescent="0.25">
      <c r="A83">
        <v>2016</v>
      </c>
      <c r="B83">
        <v>7</v>
      </c>
      <c r="C83" t="s">
        <v>33</v>
      </c>
      <c r="D83">
        <v>992</v>
      </c>
    </row>
    <row r="84" spans="1:4" x14ac:dyDescent="0.25">
      <c r="A84">
        <v>2016</v>
      </c>
      <c r="B84">
        <v>7</v>
      </c>
      <c r="C84" t="s">
        <v>34</v>
      </c>
      <c r="D84">
        <v>158</v>
      </c>
    </row>
    <row r="85" spans="1:4" x14ac:dyDescent="0.25">
      <c r="A85">
        <v>2016</v>
      </c>
      <c r="B85">
        <v>7</v>
      </c>
      <c r="C85" t="s">
        <v>35</v>
      </c>
      <c r="D85">
        <v>848</v>
      </c>
    </row>
    <row r="86" spans="1:4" x14ac:dyDescent="0.25">
      <c r="A86">
        <v>2016</v>
      </c>
      <c r="B86">
        <v>8</v>
      </c>
      <c r="C86" t="s">
        <v>24</v>
      </c>
      <c r="D86">
        <v>46356</v>
      </c>
    </row>
    <row r="87" spans="1:4" x14ac:dyDescent="0.25">
      <c r="A87">
        <v>2016</v>
      </c>
      <c r="B87">
        <v>8</v>
      </c>
      <c r="C87" t="s">
        <v>25</v>
      </c>
      <c r="D87">
        <v>2426</v>
      </c>
    </row>
    <row r="88" spans="1:4" x14ac:dyDescent="0.25">
      <c r="A88">
        <v>2016</v>
      </c>
      <c r="B88">
        <v>8</v>
      </c>
      <c r="C88" t="s">
        <v>26</v>
      </c>
      <c r="D88">
        <v>4161</v>
      </c>
    </row>
    <row r="89" spans="1:4" x14ac:dyDescent="0.25">
      <c r="A89">
        <v>2016</v>
      </c>
      <c r="B89">
        <v>8</v>
      </c>
      <c r="C89" t="s">
        <v>27</v>
      </c>
      <c r="D89">
        <v>33</v>
      </c>
    </row>
    <row r="90" spans="1:4" x14ac:dyDescent="0.25">
      <c r="A90">
        <v>2016</v>
      </c>
      <c r="B90">
        <v>8</v>
      </c>
      <c r="C90" t="s">
        <v>28</v>
      </c>
      <c r="D90">
        <v>23585</v>
      </c>
    </row>
    <row r="91" spans="1:4" x14ac:dyDescent="0.25">
      <c r="A91">
        <v>2016</v>
      </c>
      <c r="B91">
        <v>8</v>
      </c>
      <c r="C91" t="s">
        <v>29</v>
      </c>
      <c r="D91">
        <v>1560</v>
      </c>
    </row>
    <row r="92" spans="1:4" x14ac:dyDescent="0.25">
      <c r="A92">
        <v>2016</v>
      </c>
      <c r="B92">
        <v>8</v>
      </c>
      <c r="C92" t="s">
        <v>30</v>
      </c>
      <c r="D92">
        <v>5987</v>
      </c>
    </row>
    <row r="93" spans="1:4" x14ac:dyDescent="0.25">
      <c r="A93">
        <v>2016</v>
      </c>
      <c r="B93">
        <v>8</v>
      </c>
      <c r="C93" t="s">
        <v>31</v>
      </c>
      <c r="D93">
        <v>7060</v>
      </c>
    </row>
    <row r="94" spans="1:4" x14ac:dyDescent="0.25">
      <c r="A94">
        <v>2016</v>
      </c>
      <c r="B94">
        <v>8</v>
      </c>
      <c r="C94" t="s">
        <v>32</v>
      </c>
      <c r="D94">
        <v>353</v>
      </c>
    </row>
    <row r="95" spans="1:4" x14ac:dyDescent="0.25">
      <c r="A95">
        <v>2016</v>
      </c>
      <c r="B95">
        <v>8</v>
      </c>
      <c r="C95" t="s">
        <v>33</v>
      </c>
      <c r="D95">
        <v>1046</v>
      </c>
    </row>
    <row r="96" spans="1:4" x14ac:dyDescent="0.25">
      <c r="A96">
        <v>2016</v>
      </c>
      <c r="B96">
        <v>8</v>
      </c>
      <c r="C96" t="s">
        <v>34</v>
      </c>
      <c r="D96">
        <v>170</v>
      </c>
    </row>
    <row r="97" spans="1:4" x14ac:dyDescent="0.25">
      <c r="A97">
        <v>2016</v>
      </c>
      <c r="B97">
        <v>8</v>
      </c>
      <c r="C97" t="s">
        <v>35</v>
      </c>
      <c r="D97">
        <v>1057</v>
      </c>
    </row>
    <row r="98" spans="1:4" x14ac:dyDescent="0.25">
      <c r="A98">
        <v>2016</v>
      </c>
      <c r="B98">
        <v>9</v>
      </c>
      <c r="C98" t="s">
        <v>24</v>
      </c>
      <c r="D98">
        <v>38617</v>
      </c>
    </row>
    <row r="99" spans="1:4" x14ac:dyDescent="0.25">
      <c r="A99">
        <v>2016</v>
      </c>
      <c r="B99">
        <v>9</v>
      </c>
      <c r="C99" t="s">
        <v>25</v>
      </c>
      <c r="D99">
        <v>2419</v>
      </c>
    </row>
    <row r="100" spans="1:4" x14ac:dyDescent="0.25">
      <c r="A100">
        <v>2016</v>
      </c>
      <c r="B100">
        <v>9</v>
      </c>
      <c r="C100" t="s">
        <v>26</v>
      </c>
      <c r="D100">
        <v>3605</v>
      </c>
    </row>
    <row r="101" spans="1:4" x14ac:dyDescent="0.25">
      <c r="A101">
        <v>2016</v>
      </c>
      <c r="B101">
        <v>9</v>
      </c>
      <c r="C101" t="s">
        <v>27</v>
      </c>
      <c r="D101">
        <v>56</v>
      </c>
    </row>
    <row r="102" spans="1:4" x14ac:dyDescent="0.25">
      <c r="A102">
        <v>2016</v>
      </c>
      <c r="B102">
        <v>9</v>
      </c>
      <c r="C102" t="s">
        <v>28</v>
      </c>
      <c r="D102">
        <v>28242</v>
      </c>
    </row>
    <row r="103" spans="1:4" x14ac:dyDescent="0.25">
      <c r="A103">
        <v>2016</v>
      </c>
      <c r="B103">
        <v>9</v>
      </c>
      <c r="C103" t="s">
        <v>29</v>
      </c>
      <c r="D103">
        <v>2015</v>
      </c>
    </row>
    <row r="104" spans="1:4" x14ac:dyDescent="0.25">
      <c r="A104">
        <v>2016</v>
      </c>
      <c r="B104">
        <v>9</v>
      </c>
      <c r="C104" t="s">
        <v>30</v>
      </c>
      <c r="D104">
        <v>4945</v>
      </c>
    </row>
    <row r="105" spans="1:4" x14ac:dyDescent="0.25">
      <c r="A105">
        <v>2016</v>
      </c>
      <c r="B105">
        <v>9</v>
      </c>
      <c r="C105" t="s">
        <v>31</v>
      </c>
      <c r="D105">
        <v>5824</v>
      </c>
    </row>
    <row r="106" spans="1:4" x14ac:dyDescent="0.25">
      <c r="A106">
        <v>2016</v>
      </c>
      <c r="B106">
        <v>9</v>
      </c>
      <c r="C106" t="s">
        <v>32</v>
      </c>
      <c r="D106">
        <v>313</v>
      </c>
    </row>
    <row r="107" spans="1:4" x14ac:dyDescent="0.25">
      <c r="A107">
        <v>2016</v>
      </c>
      <c r="B107">
        <v>9</v>
      </c>
      <c r="C107" t="s">
        <v>33</v>
      </c>
      <c r="D107">
        <v>1159</v>
      </c>
    </row>
    <row r="108" spans="1:4" x14ac:dyDescent="0.25">
      <c r="A108">
        <v>2016</v>
      </c>
      <c r="B108">
        <v>9</v>
      </c>
      <c r="C108" t="s">
        <v>34</v>
      </c>
      <c r="D108">
        <v>174</v>
      </c>
    </row>
    <row r="109" spans="1:4" x14ac:dyDescent="0.25">
      <c r="A109">
        <v>2016</v>
      </c>
      <c r="B109">
        <v>9</v>
      </c>
      <c r="C109" t="s">
        <v>35</v>
      </c>
      <c r="D109">
        <v>888</v>
      </c>
    </row>
    <row r="110" spans="1:4" x14ac:dyDescent="0.25">
      <c r="A110">
        <v>2016</v>
      </c>
      <c r="B110">
        <v>10</v>
      </c>
      <c r="C110" t="s">
        <v>24</v>
      </c>
      <c r="D110">
        <v>35528</v>
      </c>
    </row>
    <row r="111" spans="1:4" x14ac:dyDescent="0.25">
      <c r="A111">
        <v>2016</v>
      </c>
      <c r="B111">
        <v>10</v>
      </c>
      <c r="C111" t="s">
        <v>25</v>
      </c>
      <c r="D111">
        <v>2323</v>
      </c>
    </row>
    <row r="112" spans="1:4" x14ac:dyDescent="0.25">
      <c r="A112">
        <v>2016</v>
      </c>
      <c r="B112">
        <v>10</v>
      </c>
      <c r="C112" t="s">
        <v>26</v>
      </c>
      <c r="D112">
        <v>3391</v>
      </c>
    </row>
    <row r="113" spans="1:4" x14ac:dyDescent="0.25">
      <c r="A113">
        <v>2016</v>
      </c>
      <c r="B113">
        <v>10</v>
      </c>
      <c r="C113" t="s">
        <v>27</v>
      </c>
      <c r="D113">
        <v>15</v>
      </c>
    </row>
    <row r="114" spans="1:4" x14ac:dyDescent="0.25">
      <c r="A114">
        <v>2016</v>
      </c>
      <c r="B114">
        <v>10</v>
      </c>
      <c r="C114" t="s">
        <v>28</v>
      </c>
      <c r="D114">
        <v>23580</v>
      </c>
    </row>
    <row r="115" spans="1:4" x14ac:dyDescent="0.25">
      <c r="A115">
        <v>2016</v>
      </c>
      <c r="B115">
        <v>10</v>
      </c>
      <c r="C115" t="s">
        <v>29</v>
      </c>
      <c r="D115">
        <v>1727</v>
      </c>
    </row>
    <row r="116" spans="1:4" x14ac:dyDescent="0.25">
      <c r="A116">
        <v>2016</v>
      </c>
      <c r="B116">
        <v>10</v>
      </c>
      <c r="C116" t="s">
        <v>30</v>
      </c>
      <c r="D116">
        <v>4671</v>
      </c>
    </row>
    <row r="117" spans="1:4" x14ac:dyDescent="0.25">
      <c r="A117">
        <v>2016</v>
      </c>
      <c r="B117">
        <v>10</v>
      </c>
      <c r="C117" t="s">
        <v>31</v>
      </c>
      <c r="D117">
        <v>5713</v>
      </c>
    </row>
    <row r="118" spans="1:4" x14ac:dyDescent="0.25">
      <c r="A118">
        <v>2016</v>
      </c>
      <c r="B118">
        <v>10</v>
      </c>
      <c r="C118" t="s">
        <v>32</v>
      </c>
      <c r="D118">
        <v>294</v>
      </c>
    </row>
    <row r="119" spans="1:4" x14ac:dyDescent="0.25">
      <c r="A119">
        <v>2016</v>
      </c>
      <c r="B119">
        <v>10</v>
      </c>
      <c r="C119" t="s">
        <v>33</v>
      </c>
      <c r="D119">
        <v>1088</v>
      </c>
    </row>
    <row r="120" spans="1:4" x14ac:dyDescent="0.25">
      <c r="A120">
        <v>2016</v>
      </c>
      <c r="B120">
        <v>10</v>
      </c>
      <c r="C120" t="s">
        <v>34</v>
      </c>
      <c r="D120">
        <v>153</v>
      </c>
    </row>
    <row r="121" spans="1:4" x14ac:dyDescent="0.25">
      <c r="A121">
        <v>2016</v>
      </c>
      <c r="B121">
        <v>10</v>
      </c>
      <c r="C121" t="s">
        <v>35</v>
      </c>
      <c r="D121">
        <v>972</v>
      </c>
    </row>
    <row r="122" spans="1:4" x14ac:dyDescent="0.25">
      <c r="A122">
        <v>2016</v>
      </c>
      <c r="B122">
        <v>11</v>
      </c>
      <c r="C122" t="s">
        <v>24</v>
      </c>
      <c r="D122">
        <v>34835</v>
      </c>
    </row>
    <row r="123" spans="1:4" x14ac:dyDescent="0.25">
      <c r="A123">
        <v>2016</v>
      </c>
      <c r="B123">
        <v>11</v>
      </c>
      <c r="C123" t="s">
        <v>25</v>
      </c>
      <c r="D123">
        <v>1901</v>
      </c>
    </row>
    <row r="124" spans="1:4" x14ac:dyDescent="0.25">
      <c r="A124">
        <v>2016</v>
      </c>
      <c r="B124">
        <v>11</v>
      </c>
      <c r="C124" t="s">
        <v>26</v>
      </c>
      <c r="D124">
        <v>3540</v>
      </c>
    </row>
    <row r="125" spans="1:4" x14ac:dyDescent="0.25">
      <c r="A125">
        <v>2016</v>
      </c>
      <c r="B125">
        <v>11</v>
      </c>
      <c r="C125" t="s">
        <v>27</v>
      </c>
      <c r="D125">
        <v>15</v>
      </c>
    </row>
    <row r="126" spans="1:4" x14ac:dyDescent="0.25">
      <c r="A126">
        <v>2016</v>
      </c>
      <c r="B126">
        <v>11</v>
      </c>
      <c r="C126" t="s">
        <v>28</v>
      </c>
      <c r="D126">
        <v>24153</v>
      </c>
    </row>
    <row r="127" spans="1:4" x14ac:dyDescent="0.25">
      <c r="A127">
        <v>2016</v>
      </c>
      <c r="B127">
        <v>11</v>
      </c>
      <c r="C127" t="s">
        <v>29</v>
      </c>
      <c r="D127">
        <v>1510</v>
      </c>
    </row>
    <row r="128" spans="1:4" x14ac:dyDescent="0.25">
      <c r="A128">
        <v>2016</v>
      </c>
      <c r="B128">
        <v>11</v>
      </c>
      <c r="C128" t="s">
        <v>30</v>
      </c>
      <c r="D128">
        <v>4378</v>
      </c>
    </row>
    <row r="129" spans="1:4" x14ac:dyDescent="0.25">
      <c r="A129">
        <v>2016</v>
      </c>
      <c r="B129">
        <v>11</v>
      </c>
      <c r="C129" t="s">
        <v>31</v>
      </c>
      <c r="D129">
        <v>5600</v>
      </c>
    </row>
    <row r="130" spans="1:4" x14ac:dyDescent="0.25">
      <c r="A130">
        <v>2016</v>
      </c>
      <c r="B130">
        <v>11</v>
      </c>
      <c r="C130" t="s">
        <v>32</v>
      </c>
      <c r="D130">
        <v>388</v>
      </c>
    </row>
    <row r="131" spans="1:4" x14ac:dyDescent="0.25">
      <c r="A131">
        <v>2016</v>
      </c>
      <c r="B131">
        <v>11</v>
      </c>
      <c r="C131" t="s">
        <v>33</v>
      </c>
      <c r="D131">
        <v>737</v>
      </c>
    </row>
    <row r="132" spans="1:4" x14ac:dyDescent="0.25">
      <c r="A132">
        <v>2016</v>
      </c>
      <c r="B132">
        <v>11</v>
      </c>
      <c r="C132" t="s">
        <v>34</v>
      </c>
      <c r="D132">
        <v>98</v>
      </c>
    </row>
    <row r="133" spans="1:4" x14ac:dyDescent="0.25">
      <c r="A133">
        <v>2016</v>
      </c>
      <c r="B133">
        <v>11</v>
      </c>
      <c r="C133" t="s">
        <v>35</v>
      </c>
      <c r="D133">
        <v>1144</v>
      </c>
    </row>
    <row r="134" spans="1:4" x14ac:dyDescent="0.25">
      <c r="A134">
        <v>2016</v>
      </c>
      <c r="B134">
        <v>12</v>
      </c>
      <c r="C134" t="s">
        <v>24</v>
      </c>
      <c r="D134">
        <v>34370</v>
      </c>
    </row>
    <row r="135" spans="1:4" x14ac:dyDescent="0.25">
      <c r="A135">
        <v>2016</v>
      </c>
      <c r="B135">
        <v>12</v>
      </c>
      <c r="C135" t="s">
        <v>25</v>
      </c>
      <c r="D135">
        <v>1838</v>
      </c>
    </row>
    <row r="136" spans="1:4" x14ac:dyDescent="0.25">
      <c r="A136">
        <v>2016</v>
      </c>
      <c r="B136">
        <v>12</v>
      </c>
      <c r="C136" t="s">
        <v>26</v>
      </c>
      <c r="D136">
        <v>3914</v>
      </c>
    </row>
    <row r="137" spans="1:4" x14ac:dyDescent="0.25">
      <c r="A137">
        <v>2016</v>
      </c>
      <c r="B137">
        <v>12</v>
      </c>
      <c r="C137" t="s">
        <v>27</v>
      </c>
      <c r="D137">
        <v>23</v>
      </c>
    </row>
    <row r="138" spans="1:4" x14ac:dyDescent="0.25">
      <c r="A138">
        <v>2016</v>
      </c>
      <c r="B138">
        <v>12</v>
      </c>
      <c r="C138" t="s">
        <v>28</v>
      </c>
      <c r="D138">
        <v>26705</v>
      </c>
    </row>
    <row r="139" spans="1:4" x14ac:dyDescent="0.25">
      <c r="A139">
        <v>2016</v>
      </c>
      <c r="B139">
        <v>12</v>
      </c>
      <c r="C139" t="s">
        <v>29</v>
      </c>
      <c r="D139">
        <v>1512</v>
      </c>
    </row>
    <row r="140" spans="1:4" x14ac:dyDescent="0.25">
      <c r="A140">
        <v>2016</v>
      </c>
      <c r="B140">
        <v>12</v>
      </c>
      <c r="C140" t="s">
        <v>30</v>
      </c>
      <c r="D140">
        <v>4151</v>
      </c>
    </row>
    <row r="141" spans="1:4" x14ac:dyDescent="0.25">
      <c r="A141">
        <v>2016</v>
      </c>
      <c r="B141">
        <v>12</v>
      </c>
      <c r="C141" t="s">
        <v>31</v>
      </c>
      <c r="D141">
        <v>5508</v>
      </c>
    </row>
    <row r="142" spans="1:4" x14ac:dyDescent="0.25">
      <c r="A142">
        <v>2016</v>
      </c>
      <c r="B142">
        <v>12</v>
      </c>
      <c r="C142" t="s">
        <v>32</v>
      </c>
      <c r="D142">
        <v>440</v>
      </c>
    </row>
    <row r="143" spans="1:4" x14ac:dyDescent="0.25">
      <c r="A143">
        <v>2016</v>
      </c>
      <c r="B143">
        <v>12</v>
      </c>
      <c r="C143" t="s">
        <v>33</v>
      </c>
      <c r="D143">
        <v>695</v>
      </c>
    </row>
    <row r="144" spans="1:4" x14ac:dyDescent="0.25">
      <c r="A144">
        <v>2016</v>
      </c>
      <c r="B144">
        <v>12</v>
      </c>
      <c r="C144" t="s">
        <v>34</v>
      </c>
      <c r="D144">
        <v>87</v>
      </c>
    </row>
    <row r="145" spans="1:4" x14ac:dyDescent="0.25">
      <c r="A145">
        <v>2016</v>
      </c>
      <c r="B145">
        <v>12</v>
      </c>
      <c r="C145" t="s">
        <v>35</v>
      </c>
      <c r="D145">
        <v>1112</v>
      </c>
    </row>
    <row r="146" spans="1:4" x14ac:dyDescent="0.25">
      <c r="A146">
        <v>2017</v>
      </c>
      <c r="B146">
        <v>1</v>
      </c>
      <c r="C146" t="s">
        <v>24</v>
      </c>
      <c r="D146">
        <v>38676</v>
      </c>
    </row>
    <row r="147" spans="1:4" x14ac:dyDescent="0.25">
      <c r="A147">
        <v>2017</v>
      </c>
      <c r="B147">
        <v>1</v>
      </c>
      <c r="C147" t="s">
        <v>25</v>
      </c>
      <c r="D147">
        <v>1907</v>
      </c>
    </row>
    <row r="148" spans="1:4" x14ac:dyDescent="0.25">
      <c r="A148">
        <v>2017</v>
      </c>
      <c r="B148">
        <v>1</v>
      </c>
      <c r="C148" t="s">
        <v>26</v>
      </c>
      <c r="D148">
        <v>3767</v>
      </c>
    </row>
    <row r="149" spans="1:4" x14ac:dyDescent="0.25">
      <c r="A149">
        <v>2017</v>
      </c>
      <c r="B149">
        <v>1</v>
      </c>
      <c r="C149" t="s">
        <v>27</v>
      </c>
      <c r="D149">
        <v>24</v>
      </c>
    </row>
    <row r="150" spans="1:4" x14ac:dyDescent="0.25">
      <c r="A150">
        <v>2017</v>
      </c>
      <c r="B150">
        <v>1</v>
      </c>
      <c r="C150" t="s">
        <v>28</v>
      </c>
      <c r="D150">
        <v>27601</v>
      </c>
    </row>
    <row r="151" spans="1:4" x14ac:dyDescent="0.25">
      <c r="A151">
        <v>2017</v>
      </c>
      <c r="B151">
        <v>1</v>
      </c>
      <c r="C151" t="s">
        <v>29</v>
      </c>
      <c r="D151">
        <v>1729</v>
      </c>
    </row>
    <row r="152" spans="1:4" x14ac:dyDescent="0.25">
      <c r="A152">
        <v>2017</v>
      </c>
      <c r="B152">
        <v>1</v>
      </c>
      <c r="C152" t="s">
        <v>30</v>
      </c>
      <c r="D152">
        <v>5425</v>
      </c>
    </row>
    <row r="153" spans="1:4" x14ac:dyDescent="0.25">
      <c r="A153">
        <v>2017</v>
      </c>
      <c r="B153">
        <v>1</v>
      </c>
      <c r="C153" t="s">
        <v>31</v>
      </c>
      <c r="D153">
        <v>5602</v>
      </c>
    </row>
    <row r="154" spans="1:4" x14ac:dyDescent="0.25">
      <c r="A154">
        <v>2017</v>
      </c>
      <c r="B154">
        <v>1</v>
      </c>
      <c r="C154" t="s">
        <v>32</v>
      </c>
      <c r="D154">
        <v>505</v>
      </c>
    </row>
    <row r="155" spans="1:4" x14ac:dyDescent="0.25">
      <c r="A155">
        <v>2017</v>
      </c>
      <c r="B155">
        <v>1</v>
      </c>
      <c r="C155" t="s">
        <v>33</v>
      </c>
      <c r="D155">
        <v>1028</v>
      </c>
    </row>
    <row r="156" spans="1:4" x14ac:dyDescent="0.25">
      <c r="A156">
        <v>2017</v>
      </c>
      <c r="B156">
        <v>1</v>
      </c>
      <c r="C156" t="s">
        <v>34</v>
      </c>
      <c r="D156">
        <v>114</v>
      </c>
    </row>
    <row r="157" spans="1:4" x14ac:dyDescent="0.25">
      <c r="A157">
        <v>2017</v>
      </c>
      <c r="B157">
        <v>1</v>
      </c>
      <c r="C157" t="s">
        <v>35</v>
      </c>
      <c r="D157">
        <v>1249</v>
      </c>
    </row>
    <row r="158" spans="1:4" x14ac:dyDescent="0.25">
      <c r="A158">
        <v>2017</v>
      </c>
      <c r="B158">
        <v>2</v>
      </c>
      <c r="C158" t="s">
        <v>24</v>
      </c>
      <c r="D158">
        <v>32815</v>
      </c>
    </row>
    <row r="159" spans="1:4" x14ac:dyDescent="0.25">
      <c r="A159">
        <v>2017</v>
      </c>
      <c r="B159">
        <v>2</v>
      </c>
      <c r="C159" t="s">
        <v>25</v>
      </c>
      <c r="D159">
        <v>1640</v>
      </c>
    </row>
    <row r="160" spans="1:4" x14ac:dyDescent="0.25">
      <c r="A160">
        <v>2017</v>
      </c>
      <c r="B160">
        <v>2</v>
      </c>
      <c r="C160" t="s">
        <v>26</v>
      </c>
      <c r="D160">
        <v>3093</v>
      </c>
    </row>
    <row r="161" spans="1:4" x14ac:dyDescent="0.25">
      <c r="A161">
        <v>2017</v>
      </c>
      <c r="B161">
        <v>2</v>
      </c>
      <c r="C161" t="s">
        <v>27</v>
      </c>
      <c r="D161">
        <v>22</v>
      </c>
    </row>
    <row r="162" spans="1:4" x14ac:dyDescent="0.25">
      <c r="A162">
        <v>2017</v>
      </c>
      <c r="B162">
        <v>2</v>
      </c>
      <c r="C162" t="s">
        <v>28</v>
      </c>
      <c r="D162">
        <v>28292</v>
      </c>
    </row>
    <row r="163" spans="1:4" x14ac:dyDescent="0.25">
      <c r="A163">
        <v>2017</v>
      </c>
      <c r="B163">
        <v>2</v>
      </c>
      <c r="C163" t="s">
        <v>29</v>
      </c>
      <c r="D163">
        <v>1512</v>
      </c>
    </row>
    <row r="164" spans="1:4" x14ac:dyDescent="0.25">
      <c r="A164">
        <v>2017</v>
      </c>
      <c r="B164">
        <v>2</v>
      </c>
      <c r="C164" t="s">
        <v>30</v>
      </c>
      <c r="D164">
        <v>4281</v>
      </c>
    </row>
    <row r="165" spans="1:4" x14ac:dyDescent="0.25">
      <c r="A165">
        <v>2017</v>
      </c>
      <c r="B165">
        <v>2</v>
      </c>
      <c r="C165" t="s">
        <v>31</v>
      </c>
      <c r="D165">
        <v>4949</v>
      </c>
    </row>
    <row r="166" spans="1:4" x14ac:dyDescent="0.25">
      <c r="A166">
        <v>2017</v>
      </c>
      <c r="B166">
        <v>2</v>
      </c>
      <c r="C166" t="s">
        <v>32</v>
      </c>
      <c r="D166">
        <v>440</v>
      </c>
    </row>
    <row r="167" spans="1:4" x14ac:dyDescent="0.25">
      <c r="A167">
        <v>2017</v>
      </c>
      <c r="B167">
        <v>2</v>
      </c>
      <c r="C167" t="s">
        <v>33</v>
      </c>
      <c r="D167">
        <v>848</v>
      </c>
    </row>
    <row r="168" spans="1:4" x14ac:dyDescent="0.25">
      <c r="A168">
        <v>2017</v>
      </c>
      <c r="B168">
        <v>2</v>
      </c>
      <c r="C168" t="s">
        <v>34</v>
      </c>
      <c r="D168">
        <v>69</v>
      </c>
    </row>
    <row r="169" spans="1:4" x14ac:dyDescent="0.25">
      <c r="A169">
        <v>2017</v>
      </c>
      <c r="B169">
        <v>2</v>
      </c>
      <c r="C169" t="s">
        <v>35</v>
      </c>
      <c r="D169">
        <v>1121</v>
      </c>
    </row>
    <row r="170" spans="1:4" x14ac:dyDescent="0.25">
      <c r="A170">
        <v>2017</v>
      </c>
      <c r="B170">
        <v>3</v>
      </c>
      <c r="C170" t="s">
        <v>24</v>
      </c>
      <c r="D170">
        <v>45571</v>
      </c>
    </row>
    <row r="171" spans="1:4" x14ac:dyDescent="0.25">
      <c r="A171">
        <v>2017</v>
      </c>
      <c r="B171">
        <v>3</v>
      </c>
      <c r="C171" t="s">
        <v>25</v>
      </c>
      <c r="D171">
        <v>1999</v>
      </c>
    </row>
    <row r="172" spans="1:4" x14ac:dyDescent="0.25">
      <c r="A172">
        <v>2017</v>
      </c>
      <c r="B172">
        <v>3</v>
      </c>
      <c r="C172" t="s">
        <v>26</v>
      </c>
      <c r="D172">
        <v>4259</v>
      </c>
    </row>
    <row r="173" spans="1:4" x14ac:dyDescent="0.25">
      <c r="A173">
        <v>2017</v>
      </c>
      <c r="B173">
        <v>3</v>
      </c>
      <c r="C173" t="s">
        <v>27</v>
      </c>
      <c r="D173">
        <v>24</v>
      </c>
    </row>
    <row r="174" spans="1:4" x14ac:dyDescent="0.25">
      <c r="A174">
        <v>2017</v>
      </c>
      <c r="B174">
        <v>3</v>
      </c>
      <c r="C174" t="s">
        <v>28</v>
      </c>
      <c r="D174">
        <v>31797</v>
      </c>
    </row>
    <row r="175" spans="1:4" x14ac:dyDescent="0.25">
      <c r="A175">
        <v>2017</v>
      </c>
      <c r="B175">
        <v>3</v>
      </c>
      <c r="C175" t="s">
        <v>29</v>
      </c>
      <c r="D175">
        <v>2105</v>
      </c>
    </row>
    <row r="176" spans="1:4" x14ac:dyDescent="0.25">
      <c r="A176">
        <v>2017</v>
      </c>
      <c r="B176">
        <v>3</v>
      </c>
      <c r="C176" t="s">
        <v>30</v>
      </c>
      <c r="D176">
        <v>5164</v>
      </c>
    </row>
    <row r="177" spans="1:4" x14ac:dyDescent="0.25">
      <c r="A177">
        <v>2017</v>
      </c>
      <c r="B177">
        <v>3</v>
      </c>
      <c r="C177" t="s">
        <v>31</v>
      </c>
      <c r="D177">
        <v>7271</v>
      </c>
    </row>
    <row r="178" spans="1:4" x14ac:dyDescent="0.25">
      <c r="A178">
        <v>2017</v>
      </c>
      <c r="B178">
        <v>3</v>
      </c>
      <c r="C178" t="s">
        <v>32</v>
      </c>
      <c r="D178">
        <v>516</v>
      </c>
    </row>
    <row r="179" spans="1:4" x14ac:dyDescent="0.25">
      <c r="A179">
        <v>2017</v>
      </c>
      <c r="B179">
        <v>3</v>
      </c>
      <c r="C179" t="s">
        <v>33</v>
      </c>
      <c r="D179">
        <v>1074</v>
      </c>
    </row>
    <row r="180" spans="1:4" x14ac:dyDescent="0.25">
      <c r="A180">
        <v>2017</v>
      </c>
      <c r="B180">
        <v>3</v>
      </c>
      <c r="C180" t="s">
        <v>34</v>
      </c>
      <c r="D180">
        <v>116</v>
      </c>
    </row>
    <row r="181" spans="1:4" x14ac:dyDescent="0.25">
      <c r="A181">
        <v>2017</v>
      </c>
      <c r="B181">
        <v>3</v>
      </c>
      <c r="C181" t="s">
        <v>35</v>
      </c>
      <c r="D181">
        <v>1120</v>
      </c>
    </row>
    <row r="182" spans="1:4" x14ac:dyDescent="0.25">
      <c r="A182">
        <v>2017</v>
      </c>
      <c r="B182">
        <v>4</v>
      </c>
      <c r="C182" t="s">
        <v>24</v>
      </c>
      <c r="D182">
        <v>41374</v>
      </c>
    </row>
    <row r="183" spans="1:4" x14ac:dyDescent="0.25">
      <c r="A183">
        <v>2017</v>
      </c>
      <c r="B183">
        <v>4</v>
      </c>
      <c r="C183" t="s">
        <v>25</v>
      </c>
      <c r="D183">
        <v>2275</v>
      </c>
    </row>
    <row r="184" spans="1:4" x14ac:dyDescent="0.25">
      <c r="A184">
        <v>2017</v>
      </c>
      <c r="B184">
        <v>4</v>
      </c>
      <c r="C184" t="s">
        <v>26</v>
      </c>
      <c r="D184">
        <v>4049</v>
      </c>
    </row>
    <row r="185" spans="1:4" x14ac:dyDescent="0.25">
      <c r="A185">
        <v>2017</v>
      </c>
      <c r="B185">
        <v>4</v>
      </c>
      <c r="C185" t="s">
        <v>27</v>
      </c>
      <c r="D185">
        <v>21</v>
      </c>
    </row>
    <row r="186" spans="1:4" x14ac:dyDescent="0.25">
      <c r="A186">
        <v>2017</v>
      </c>
      <c r="B186">
        <v>4</v>
      </c>
      <c r="C186" t="s">
        <v>28</v>
      </c>
      <c r="D186">
        <v>25724</v>
      </c>
    </row>
    <row r="187" spans="1:4" x14ac:dyDescent="0.25">
      <c r="A187">
        <v>2017</v>
      </c>
      <c r="B187">
        <v>4</v>
      </c>
      <c r="C187" t="s">
        <v>29</v>
      </c>
      <c r="D187">
        <v>1936</v>
      </c>
    </row>
    <row r="188" spans="1:4" x14ac:dyDescent="0.25">
      <c r="A188">
        <v>2017</v>
      </c>
      <c r="B188">
        <v>4</v>
      </c>
      <c r="C188" t="s">
        <v>30</v>
      </c>
      <c r="D188">
        <v>5247</v>
      </c>
    </row>
    <row r="189" spans="1:4" x14ac:dyDescent="0.25">
      <c r="A189">
        <v>2017</v>
      </c>
      <c r="B189">
        <v>4</v>
      </c>
      <c r="C189" t="s">
        <v>31</v>
      </c>
      <c r="D189">
        <v>6645</v>
      </c>
    </row>
    <row r="190" spans="1:4" x14ac:dyDescent="0.25">
      <c r="A190">
        <v>2017</v>
      </c>
      <c r="B190">
        <v>4</v>
      </c>
      <c r="C190" t="s">
        <v>32</v>
      </c>
      <c r="D190">
        <v>481</v>
      </c>
    </row>
    <row r="191" spans="1:4" x14ac:dyDescent="0.25">
      <c r="A191">
        <v>2017</v>
      </c>
      <c r="B191">
        <v>4</v>
      </c>
      <c r="C191" t="s">
        <v>33</v>
      </c>
      <c r="D191">
        <v>1130</v>
      </c>
    </row>
    <row r="192" spans="1:4" x14ac:dyDescent="0.25">
      <c r="A192">
        <v>2017</v>
      </c>
      <c r="B192">
        <v>4</v>
      </c>
      <c r="C192" t="s">
        <v>34</v>
      </c>
      <c r="D192">
        <v>98</v>
      </c>
    </row>
    <row r="193" spans="1:4" x14ac:dyDescent="0.25">
      <c r="A193">
        <v>2017</v>
      </c>
      <c r="B193">
        <v>4</v>
      </c>
      <c r="C193" t="s">
        <v>35</v>
      </c>
      <c r="D193">
        <v>885</v>
      </c>
    </row>
    <row r="194" spans="1:4" x14ac:dyDescent="0.25">
      <c r="A194">
        <v>2017</v>
      </c>
      <c r="B194">
        <v>5</v>
      </c>
      <c r="C194" t="s">
        <v>24</v>
      </c>
      <c r="D194">
        <v>45611</v>
      </c>
    </row>
    <row r="195" spans="1:4" x14ac:dyDescent="0.25">
      <c r="A195">
        <v>2017</v>
      </c>
      <c r="B195">
        <v>5</v>
      </c>
      <c r="C195" t="s">
        <v>25</v>
      </c>
      <c r="D195">
        <v>2552</v>
      </c>
    </row>
    <row r="196" spans="1:4" x14ac:dyDescent="0.25">
      <c r="A196">
        <v>2017</v>
      </c>
      <c r="B196">
        <v>5</v>
      </c>
      <c r="C196" t="s">
        <v>26</v>
      </c>
      <c r="D196">
        <v>4084</v>
      </c>
    </row>
    <row r="197" spans="1:4" x14ac:dyDescent="0.25">
      <c r="A197">
        <v>2017</v>
      </c>
      <c r="B197">
        <v>5</v>
      </c>
      <c r="C197" t="s">
        <v>27</v>
      </c>
      <c r="D197">
        <v>30</v>
      </c>
    </row>
    <row r="198" spans="1:4" x14ac:dyDescent="0.25">
      <c r="A198">
        <v>2017</v>
      </c>
      <c r="B198">
        <v>5</v>
      </c>
      <c r="C198" t="s">
        <v>28</v>
      </c>
      <c r="D198">
        <v>28510</v>
      </c>
    </row>
    <row r="199" spans="1:4" x14ac:dyDescent="0.25">
      <c r="A199">
        <v>2017</v>
      </c>
      <c r="B199">
        <v>5</v>
      </c>
      <c r="C199" t="s">
        <v>29</v>
      </c>
      <c r="D199">
        <v>2249</v>
      </c>
    </row>
    <row r="200" spans="1:4" x14ac:dyDescent="0.25">
      <c r="A200">
        <v>2017</v>
      </c>
      <c r="B200">
        <v>5</v>
      </c>
      <c r="C200" t="s">
        <v>30</v>
      </c>
      <c r="D200">
        <v>5904</v>
      </c>
    </row>
    <row r="201" spans="1:4" x14ac:dyDescent="0.25">
      <c r="A201">
        <v>2017</v>
      </c>
      <c r="B201">
        <v>5</v>
      </c>
      <c r="C201" t="s">
        <v>31</v>
      </c>
      <c r="D201">
        <v>7832</v>
      </c>
    </row>
    <row r="202" spans="1:4" x14ac:dyDescent="0.25">
      <c r="A202">
        <v>2017</v>
      </c>
      <c r="B202">
        <v>5</v>
      </c>
      <c r="C202" t="s">
        <v>32</v>
      </c>
      <c r="D202">
        <v>592</v>
      </c>
    </row>
    <row r="203" spans="1:4" x14ac:dyDescent="0.25">
      <c r="A203">
        <v>2017</v>
      </c>
      <c r="B203">
        <v>5</v>
      </c>
      <c r="C203" t="s">
        <v>33</v>
      </c>
      <c r="D203">
        <v>1183</v>
      </c>
    </row>
    <row r="204" spans="1:4" x14ac:dyDescent="0.25">
      <c r="A204">
        <v>2017</v>
      </c>
      <c r="B204">
        <v>5</v>
      </c>
      <c r="C204" t="s">
        <v>34</v>
      </c>
      <c r="D204">
        <v>84</v>
      </c>
    </row>
    <row r="205" spans="1:4" x14ac:dyDescent="0.25">
      <c r="A205">
        <v>2017</v>
      </c>
      <c r="B205">
        <v>5</v>
      </c>
      <c r="C205" t="s">
        <v>35</v>
      </c>
      <c r="D205">
        <v>1059</v>
      </c>
    </row>
    <row r="206" spans="1:4" x14ac:dyDescent="0.25">
      <c r="A206">
        <v>2017</v>
      </c>
      <c r="B206">
        <v>6</v>
      </c>
      <c r="C206" t="s">
        <v>24</v>
      </c>
      <c r="D206">
        <v>48232</v>
      </c>
    </row>
    <row r="207" spans="1:4" x14ac:dyDescent="0.25">
      <c r="A207">
        <v>2017</v>
      </c>
      <c r="B207">
        <v>6</v>
      </c>
      <c r="C207" t="s">
        <v>25</v>
      </c>
      <c r="D207">
        <v>2535</v>
      </c>
    </row>
    <row r="208" spans="1:4" x14ac:dyDescent="0.25">
      <c r="A208">
        <v>2017</v>
      </c>
      <c r="B208">
        <v>6</v>
      </c>
      <c r="C208" t="s">
        <v>26</v>
      </c>
      <c r="D208">
        <v>4128</v>
      </c>
    </row>
    <row r="209" spans="1:4" x14ac:dyDescent="0.25">
      <c r="A209">
        <v>2017</v>
      </c>
      <c r="B209">
        <v>6</v>
      </c>
      <c r="C209" t="s">
        <v>27</v>
      </c>
      <c r="D209">
        <v>28</v>
      </c>
    </row>
    <row r="210" spans="1:4" x14ac:dyDescent="0.25">
      <c r="A210">
        <v>2017</v>
      </c>
      <c r="B210">
        <v>6</v>
      </c>
      <c r="C210" t="s">
        <v>28</v>
      </c>
      <c r="D210">
        <v>26972</v>
      </c>
    </row>
    <row r="211" spans="1:4" x14ac:dyDescent="0.25">
      <c r="A211">
        <v>2017</v>
      </c>
      <c r="B211">
        <v>6</v>
      </c>
      <c r="C211" t="s">
        <v>29</v>
      </c>
      <c r="D211">
        <v>2387</v>
      </c>
    </row>
    <row r="212" spans="1:4" x14ac:dyDescent="0.25">
      <c r="A212">
        <v>2017</v>
      </c>
      <c r="B212">
        <v>6</v>
      </c>
      <c r="C212" t="s">
        <v>30</v>
      </c>
      <c r="D212">
        <v>6317</v>
      </c>
    </row>
    <row r="213" spans="1:4" x14ac:dyDescent="0.25">
      <c r="A213">
        <v>2017</v>
      </c>
      <c r="B213">
        <v>6</v>
      </c>
      <c r="C213" t="s">
        <v>31</v>
      </c>
      <c r="D213">
        <v>8295</v>
      </c>
    </row>
    <row r="214" spans="1:4" x14ac:dyDescent="0.25">
      <c r="A214">
        <v>2017</v>
      </c>
      <c r="B214">
        <v>6</v>
      </c>
      <c r="C214" t="s">
        <v>32</v>
      </c>
      <c r="D214">
        <v>583</v>
      </c>
    </row>
    <row r="215" spans="1:4" x14ac:dyDescent="0.25">
      <c r="A215">
        <v>2017</v>
      </c>
      <c r="B215">
        <v>6</v>
      </c>
      <c r="C215" t="s">
        <v>33</v>
      </c>
      <c r="D215">
        <v>1167</v>
      </c>
    </row>
    <row r="216" spans="1:4" x14ac:dyDescent="0.25">
      <c r="A216">
        <v>2017</v>
      </c>
      <c r="B216">
        <v>6</v>
      </c>
      <c r="C216" t="s">
        <v>34</v>
      </c>
      <c r="D216">
        <v>107</v>
      </c>
    </row>
    <row r="217" spans="1:4" x14ac:dyDescent="0.25">
      <c r="A217">
        <v>2017</v>
      </c>
      <c r="B217">
        <v>6</v>
      </c>
      <c r="C217" t="s">
        <v>35</v>
      </c>
      <c r="D217">
        <v>1116</v>
      </c>
    </row>
    <row r="218" spans="1:4" x14ac:dyDescent="0.25">
      <c r="A218">
        <v>2017</v>
      </c>
      <c r="B218">
        <v>7</v>
      </c>
      <c r="C218" t="s">
        <v>24</v>
      </c>
      <c r="D218">
        <v>53652</v>
      </c>
    </row>
    <row r="219" spans="1:4" x14ac:dyDescent="0.25">
      <c r="A219">
        <v>2017</v>
      </c>
      <c r="B219">
        <v>7</v>
      </c>
      <c r="C219" t="s">
        <v>25</v>
      </c>
      <c r="D219">
        <v>2615</v>
      </c>
    </row>
    <row r="220" spans="1:4" x14ac:dyDescent="0.25">
      <c r="A220">
        <v>2017</v>
      </c>
      <c r="B220">
        <v>7</v>
      </c>
      <c r="C220" t="s">
        <v>26</v>
      </c>
      <c r="D220">
        <v>4418</v>
      </c>
    </row>
    <row r="221" spans="1:4" x14ac:dyDescent="0.25">
      <c r="A221">
        <v>2017</v>
      </c>
      <c r="B221">
        <v>7</v>
      </c>
      <c r="C221" t="s">
        <v>27</v>
      </c>
      <c r="D221">
        <v>25</v>
      </c>
    </row>
    <row r="222" spans="1:4" x14ac:dyDescent="0.25">
      <c r="A222">
        <v>2017</v>
      </c>
      <c r="B222">
        <v>7</v>
      </c>
      <c r="C222" t="s">
        <v>28</v>
      </c>
      <c r="D222">
        <v>24523</v>
      </c>
    </row>
    <row r="223" spans="1:4" x14ac:dyDescent="0.25">
      <c r="A223">
        <v>2017</v>
      </c>
      <c r="B223">
        <v>7</v>
      </c>
      <c r="C223" t="s">
        <v>29</v>
      </c>
      <c r="D223">
        <v>2477</v>
      </c>
    </row>
    <row r="224" spans="1:4" x14ac:dyDescent="0.25">
      <c r="A224">
        <v>2017</v>
      </c>
      <c r="B224">
        <v>7</v>
      </c>
      <c r="C224" t="s">
        <v>30</v>
      </c>
      <c r="D224">
        <v>7528</v>
      </c>
    </row>
    <row r="225" spans="1:4" x14ac:dyDescent="0.25">
      <c r="A225">
        <v>2017</v>
      </c>
      <c r="B225">
        <v>7</v>
      </c>
      <c r="C225" t="s">
        <v>31</v>
      </c>
      <c r="D225">
        <v>9055</v>
      </c>
    </row>
    <row r="226" spans="1:4" x14ac:dyDescent="0.25">
      <c r="A226">
        <v>2017</v>
      </c>
      <c r="B226">
        <v>7</v>
      </c>
      <c r="C226" t="s">
        <v>32</v>
      </c>
      <c r="D226">
        <v>480</v>
      </c>
    </row>
    <row r="227" spans="1:4" x14ac:dyDescent="0.25">
      <c r="A227">
        <v>2017</v>
      </c>
      <c r="B227">
        <v>7</v>
      </c>
      <c r="C227" t="s">
        <v>33</v>
      </c>
      <c r="D227">
        <v>1087</v>
      </c>
    </row>
    <row r="228" spans="1:4" x14ac:dyDescent="0.25">
      <c r="A228">
        <v>2017</v>
      </c>
      <c r="B228">
        <v>7</v>
      </c>
      <c r="C228" t="s">
        <v>34</v>
      </c>
      <c r="D228">
        <v>153</v>
      </c>
    </row>
    <row r="229" spans="1:4" x14ac:dyDescent="0.25">
      <c r="A229">
        <v>2017</v>
      </c>
      <c r="B229">
        <v>7</v>
      </c>
      <c r="C229" t="s">
        <v>35</v>
      </c>
      <c r="D229">
        <v>1104</v>
      </c>
    </row>
    <row r="230" spans="1:4" x14ac:dyDescent="0.25">
      <c r="A230">
        <v>2017</v>
      </c>
      <c r="B230">
        <v>8</v>
      </c>
      <c r="C230" t="s">
        <v>24</v>
      </c>
      <c r="D230">
        <v>55592</v>
      </c>
    </row>
    <row r="231" spans="1:4" x14ac:dyDescent="0.25">
      <c r="A231">
        <v>2017</v>
      </c>
      <c r="B231">
        <v>8</v>
      </c>
      <c r="C231" t="s">
        <v>25</v>
      </c>
      <c r="D231">
        <v>2522</v>
      </c>
    </row>
    <row r="232" spans="1:4" x14ac:dyDescent="0.25">
      <c r="A232">
        <v>2017</v>
      </c>
      <c r="B232">
        <v>8</v>
      </c>
      <c r="C232" t="s">
        <v>26</v>
      </c>
      <c r="D232">
        <v>4471</v>
      </c>
    </row>
    <row r="233" spans="1:4" x14ac:dyDescent="0.25">
      <c r="A233">
        <v>2017</v>
      </c>
      <c r="B233">
        <v>8</v>
      </c>
      <c r="C233" t="s">
        <v>27</v>
      </c>
      <c r="D233">
        <v>30</v>
      </c>
    </row>
    <row r="234" spans="1:4" x14ac:dyDescent="0.25">
      <c r="A234">
        <v>2017</v>
      </c>
      <c r="B234">
        <v>8</v>
      </c>
      <c r="C234" t="s">
        <v>28</v>
      </c>
      <c r="D234">
        <v>30623</v>
      </c>
    </row>
    <row r="235" spans="1:4" x14ac:dyDescent="0.25">
      <c r="A235">
        <v>2017</v>
      </c>
      <c r="B235">
        <v>8</v>
      </c>
      <c r="C235" t="s">
        <v>29</v>
      </c>
      <c r="D235">
        <v>2715</v>
      </c>
    </row>
    <row r="236" spans="1:4" x14ac:dyDescent="0.25">
      <c r="A236">
        <v>2017</v>
      </c>
      <c r="B236">
        <v>8</v>
      </c>
      <c r="C236" t="s">
        <v>30</v>
      </c>
      <c r="D236">
        <v>10091</v>
      </c>
    </row>
    <row r="237" spans="1:4" x14ac:dyDescent="0.25">
      <c r="A237">
        <v>2017</v>
      </c>
      <c r="B237">
        <v>8</v>
      </c>
      <c r="C237" t="s">
        <v>31</v>
      </c>
      <c r="D237">
        <v>9083</v>
      </c>
    </row>
    <row r="238" spans="1:4" x14ac:dyDescent="0.25">
      <c r="A238">
        <v>2017</v>
      </c>
      <c r="B238">
        <v>8</v>
      </c>
      <c r="C238" t="s">
        <v>32</v>
      </c>
      <c r="D238">
        <v>462</v>
      </c>
    </row>
    <row r="239" spans="1:4" x14ac:dyDescent="0.25">
      <c r="A239">
        <v>2017</v>
      </c>
      <c r="B239">
        <v>8</v>
      </c>
      <c r="C239" t="s">
        <v>33</v>
      </c>
      <c r="D239">
        <v>1314</v>
      </c>
    </row>
    <row r="240" spans="1:4" x14ac:dyDescent="0.25">
      <c r="A240">
        <v>2017</v>
      </c>
      <c r="B240">
        <v>8</v>
      </c>
      <c r="C240" t="s">
        <v>34</v>
      </c>
      <c r="D240">
        <v>118</v>
      </c>
    </row>
    <row r="241" spans="1:4" x14ac:dyDescent="0.25">
      <c r="A241">
        <v>2017</v>
      </c>
      <c r="B241">
        <v>8</v>
      </c>
      <c r="C241" t="s">
        <v>35</v>
      </c>
      <c r="D241">
        <v>1118</v>
      </c>
    </row>
    <row r="242" spans="1:4" x14ac:dyDescent="0.25">
      <c r="A242">
        <v>2017</v>
      </c>
      <c r="B242">
        <v>9</v>
      </c>
      <c r="C242" t="s">
        <v>24</v>
      </c>
      <c r="D242">
        <v>49072</v>
      </c>
    </row>
    <row r="243" spans="1:4" x14ac:dyDescent="0.25">
      <c r="A243">
        <v>2017</v>
      </c>
      <c r="B243">
        <v>9</v>
      </c>
      <c r="C243" t="s">
        <v>25</v>
      </c>
      <c r="D243">
        <v>2450</v>
      </c>
    </row>
    <row r="244" spans="1:4" x14ac:dyDescent="0.25">
      <c r="A244">
        <v>2017</v>
      </c>
      <c r="B244">
        <v>9</v>
      </c>
      <c r="C244" t="s">
        <v>26</v>
      </c>
      <c r="D244">
        <v>3918</v>
      </c>
    </row>
    <row r="245" spans="1:4" x14ac:dyDescent="0.25">
      <c r="A245">
        <v>2017</v>
      </c>
      <c r="B245">
        <v>9</v>
      </c>
      <c r="C245" t="s">
        <v>27</v>
      </c>
      <c r="D245">
        <v>15</v>
      </c>
    </row>
    <row r="246" spans="1:4" x14ac:dyDescent="0.25">
      <c r="A246">
        <v>2017</v>
      </c>
      <c r="B246">
        <v>9</v>
      </c>
      <c r="C246" t="s">
        <v>28</v>
      </c>
      <c r="D246">
        <v>26632</v>
      </c>
    </row>
    <row r="247" spans="1:4" x14ac:dyDescent="0.25">
      <c r="A247">
        <v>2017</v>
      </c>
      <c r="B247">
        <v>9</v>
      </c>
      <c r="C247" t="s">
        <v>29</v>
      </c>
      <c r="D247">
        <v>2835</v>
      </c>
    </row>
    <row r="248" spans="1:4" x14ac:dyDescent="0.25">
      <c r="A248">
        <v>2017</v>
      </c>
      <c r="B248">
        <v>9</v>
      </c>
      <c r="C248" t="s">
        <v>30</v>
      </c>
      <c r="D248">
        <v>8883</v>
      </c>
    </row>
    <row r="249" spans="1:4" x14ac:dyDescent="0.25">
      <c r="A249">
        <v>2017</v>
      </c>
      <c r="B249">
        <v>9</v>
      </c>
      <c r="C249" t="s">
        <v>31</v>
      </c>
      <c r="D249">
        <v>8490</v>
      </c>
    </row>
    <row r="250" spans="1:4" x14ac:dyDescent="0.25">
      <c r="A250">
        <v>2017</v>
      </c>
      <c r="B250">
        <v>9</v>
      </c>
      <c r="C250" t="s">
        <v>32</v>
      </c>
      <c r="D250">
        <v>575</v>
      </c>
    </row>
    <row r="251" spans="1:4" x14ac:dyDescent="0.25">
      <c r="A251">
        <v>2017</v>
      </c>
      <c r="B251">
        <v>9</v>
      </c>
      <c r="C251" t="s">
        <v>33</v>
      </c>
      <c r="D251">
        <v>1157</v>
      </c>
    </row>
    <row r="252" spans="1:4" x14ac:dyDescent="0.25">
      <c r="A252">
        <v>2017</v>
      </c>
      <c r="B252">
        <v>9</v>
      </c>
      <c r="C252" t="s">
        <v>34</v>
      </c>
      <c r="D252">
        <v>111</v>
      </c>
    </row>
    <row r="253" spans="1:4" x14ac:dyDescent="0.25">
      <c r="A253">
        <v>2017</v>
      </c>
      <c r="B253">
        <v>9</v>
      </c>
      <c r="C253" t="s">
        <v>35</v>
      </c>
      <c r="D253">
        <v>1122</v>
      </c>
    </row>
    <row r="254" spans="1:4" x14ac:dyDescent="0.25">
      <c r="A254">
        <v>2017</v>
      </c>
      <c r="B254">
        <v>10</v>
      </c>
      <c r="C254" t="s">
        <v>24</v>
      </c>
      <c r="D254">
        <v>45784</v>
      </c>
    </row>
    <row r="255" spans="1:4" x14ac:dyDescent="0.25">
      <c r="A255">
        <v>2017</v>
      </c>
      <c r="B255">
        <v>10</v>
      </c>
      <c r="C255" t="s">
        <v>25</v>
      </c>
      <c r="D255">
        <v>2630</v>
      </c>
    </row>
    <row r="256" spans="1:4" x14ac:dyDescent="0.25">
      <c r="A256">
        <v>2017</v>
      </c>
      <c r="B256">
        <v>10</v>
      </c>
      <c r="C256" t="s">
        <v>26</v>
      </c>
      <c r="D256">
        <v>3641</v>
      </c>
    </row>
    <row r="257" spans="1:4" x14ac:dyDescent="0.25">
      <c r="A257">
        <v>2017</v>
      </c>
      <c r="B257">
        <v>10</v>
      </c>
      <c r="C257" t="s">
        <v>27</v>
      </c>
      <c r="D257">
        <v>26</v>
      </c>
    </row>
    <row r="258" spans="1:4" x14ac:dyDescent="0.25">
      <c r="A258">
        <v>2017</v>
      </c>
      <c r="B258">
        <v>10</v>
      </c>
      <c r="C258" t="s">
        <v>28</v>
      </c>
      <c r="D258">
        <v>25739</v>
      </c>
    </row>
    <row r="259" spans="1:4" x14ac:dyDescent="0.25">
      <c r="A259">
        <v>2017</v>
      </c>
      <c r="B259">
        <v>10</v>
      </c>
      <c r="C259" t="s">
        <v>29</v>
      </c>
      <c r="D259">
        <v>2646</v>
      </c>
    </row>
    <row r="260" spans="1:4" x14ac:dyDescent="0.25">
      <c r="A260">
        <v>2017</v>
      </c>
      <c r="B260">
        <v>10</v>
      </c>
      <c r="C260" t="s">
        <v>30</v>
      </c>
      <c r="D260">
        <v>9328</v>
      </c>
    </row>
    <row r="261" spans="1:4" x14ac:dyDescent="0.25">
      <c r="A261">
        <v>2017</v>
      </c>
      <c r="B261">
        <v>10</v>
      </c>
      <c r="C261" t="s">
        <v>31</v>
      </c>
      <c r="D261">
        <v>7699</v>
      </c>
    </row>
    <row r="262" spans="1:4" x14ac:dyDescent="0.25">
      <c r="A262">
        <v>2017</v>
      </c>
      <c r="B262">
        <v>10</v>
      </c>
      <c r="C262" t="s">
        <v>32</v>
      </c>
      <c r="D262">
        <v>454</v>
      </c>
    </row>
    <row r="263" spans="1:4" x14ac:dyDescent="0.25">
      <c r="A263">
        <v>2017</v>
      </c>
      <c r="B263">
        <v>10</v>
      </c>
      <c r="C263" t="s">
        <v>33</v>
      </c>
      <c r="D263">
        <v>1192</v>
      </c>
    </row>
    <row r="264" spans="1:4" x14ac:dyDescent="0.25">
      <c r="A264">
        <v>2017</v>
      </c>
      <c r="B264">
        <v>10</v>
      </c>
      <c r="C264" t="s">
        <v>34</v>
      </c>
      <c r="D264">
        <v>133</v>
      </c>
    </row>
    <row r="265" spans="1:4" x14ac:dyDescent="0.25">
      <c r="A265">
        <v>2017</v>
      </c>
      <c r="B265">
        <v>10</v>
      </c>
      <c r="C265" t="s">
        <v>35</v>
      </c>
      <c r="D265">
        <v>1214</v>
      </c>
    </row>
    <row r="266" spans="1:4" x14ac:dyDescent="0.25">
      <c r="A266">
        <v>2017</v>
      </c>
      <c r="B266">
        <v>11</v>
      </c>
      <c r="C266" t="s">
        <v>24</v>
      </c>
      <c r="D266">
        <v>41956</v>
      </c>
    </row>
    <row r="267" spans="1:4" x14ac:dyDescent="0.25">
      <c r="A267">
        <v>2017</v>
      </c>
      <c r="B267">
        <v>11</v>
      </c>
      <c r="C267" t="s">
        <v>25</v>
      </c>
      <c r="D267">
        <v>2146</v>
      </c>
    </row>
    <row r="268" spans="1:4" x14ac:dyDescent="0.25">
      <c r="A268">
        <v>2017</v>
      </c>
      <c r="B268">
        <v>11</v>
      </c>
      <c r="C268" t="s">
        <v>26</v>
      </c>
      <c r="D268">
        <v>3728</v>
      </c>
    </row>
    <row r="269" spans="1:4" x14ac:dyDescent="0.25">
      <c r="A269">
        <v>2017</v>
      </c>
      <c r="B269">
        <v>11</v>
      </c>
      <c r="C269" t="s">
        <v>27</v>
      </c>
      <c r="D269">
        <v>28</v>
      </c>
    </row>
    <row r="270" spans="1:4" x14ac:dyDescent="0.25">
      <c r="A270">
        <v>2017</v>
      </c>
      <c r="B270">
        <v>11</v>
      </c>
      <c r="C270" t="s">
        <v>28</v>
      </c>
      <c r="D270">
        <v>21568</v>
      </c>
    </row>
    <row r="271" spans="1:4" x14ac:dyDescent="0.25">
      <c r="A271">
        <v>2017</v>
      </c>
      <c r="B271">
        <v>11</v>
      </c>
      <c r="C271" t="s">
        <v>29</v>
      </c>
      <c r="D271">
        <v>2435</v>
      </c>
    </row>
    <row r="272" spans="1:4" x14ac:dyDescent="0.25">
      <c r="A272">
        <v>2017</v>
      </c>
      <c r="B272">
        <v>11</v>
      </c>
      <c r="C272" t="s">
        <v>30</v>
      </c>
      <c r="D272">
        <v>8704</v>
      </c>
    </row>
    <row r="273" spans="1:4" x14ac:dyDescent="0.25">
      <c r="A273">
        <v>2017</v>
      </c>
      <c r="B273">
        <v>11</v>
      </c>
      <c r="C273" t="s">
        <v>31</v>
      </c>
      <c r="D273">
        <v>7255</v>
      </c>
    </row>
    <row r="274" spans="1:4" x14ac:dyDescent="0.25">
      <c r="A274">
        <v>2017</v>
      </c>
      <c r="B274">
        <v>11</v>
      </c>
      <c r="C274" t="s">
        <v>32</v>
      </c>
      <c r="D274">
        <v>444</v>
      </c>
    </row>
    <row r="275" spans="1:4" x14ac:dyDescent="0.25">
      <c r="A275">
        <v>2017</v>
      </c>
      <c r="B275">
        <v>11</v>
      </c>
      <c r="C275" t="s">
        <v>33</v>
      </c>
      <c r="D275">
        <v>981</v>
      </c>
    </row>
    <row r="276" spans="1:4" x14ac:dyDescent="0.25">
      <c r="A276">
        <v>2017</v>
      </c>
      <c r="B276">
        <v>11</v>
      </c>
      <c r="C276" t="s">
        <v>34</v>
      </c>
      <c r="D276">
        <v>132</v>
      </c>
    </row>
    <row r="277" spans="1:4" x14ac:dyDescent="0.25">
      <c r="A277">
        <v>2017</v>
      </c>
      <c r="B277">
        <v>11</v>
      </c>
      <c r="C277" t="s">
        <v>35</v>
      </c>
      <c r="D277">
        <v>1006</v>
      </c>
    </row>
    <row r="278" spans="1:4" x14ac:dyDescent="0.25">
      <c r="A278">
        <v>2017</v>
      </c>
      <c r="B278">
        <v>12</v>
      </c>
      <c r="C278" t="s">
        <v>24</v>
      </c>
      <c r="D278">
        <v>42136</v>
      </c>
    </row>
    <row r="279" spans="1:4" x14ac:dyDescent="0.25">
      <c r="A279">
        <v>2017</v>
      </c>
      <c r="B279">
        <v>12</v>
      </c>
      <c r="C279" t="s">
        <v>25</v>
      </c>
      <c r="D279">
        <v>1853</v>
      </c>
    </row>
    <row r="280" spans="1:4" x14ac:dyDescent="0.25">
      <c r="A280">
        <v>2017</v>
      </c>
      <c r="B280">
        <v>12</v>
      </c>
      <c r="C280" t="s">
        <v>26</v>
      </c>
      <c r="D280">
        <v>3747</v>
      </c>
    </row>
    <row r="281" spans="1:4" x14ac:dyDescent="0.25">
      <c r="A281">
        <v>2017</v>
      </c>
      <c r="B281">
        <v>12</v>
      </c>
      <c r="C281" t="s">
        <v>27</v>
      </c>
      <c r="D281">
        <v>23</v>
      </c>
    </row>
    <row r="282" spans="1:4" x14ac:dyDescent="0.25">
      <c r="A282">
        <v>2017</v>
      </c>
      <c r="B282">
        <v>12</v>
      </c>
      <c r="C282" t="s">
        <v>28</v>
      </c>
      <c r="D282">
        <v>23580</v>
      </c>
    </row>
    <row r="283" spans="1:4" x14ac:dyDescent="0.25">
      <c r="A283">
        <v>2017</v>
      </c>
      <c r="B283">
        <v>12</v>
      </c>
      <c r="C283" t="s">
        <v>29</v>
      </c>
      <c r="D283">
        <v>2005</v>
      </c>
    </row>
    <row r="284" spans="1:4" x14ac:dyDescent="0.25">
      <c r="A284">
        <v>2017</v>
      </c>
      <c r="B284">
        <v>12</v>
      </c>
      <c r="C284" t="s">
        <v>30</v>
      </c>
      <c r="D284">
        <v>6846</v>
      </c>
    </row>
    <row r="285" spans="1:4" x14ac:dyDescent="0.25">
      <c r="A285">
        <v>2017</v>
      </c>
      <c r="B285">
        <v>12</v>
      </c>
      <c r="C285" t="s">
        <v>31</v>
      </c>
      <c r="D285">
        <v>6679</v>
      </c>
    </row>
    <row r="286" spans="1:4" x14ac:dyDescent="0.25">
      <c r="A286">
        <v>2017</v>
      </c>
      <c r="B286">
        <v>12</v>
      </c>
      <c r="C286" t="s">
        <v>32</v>
      </c>
      <c r="D286">
        <v>460</v>
      </c>
    </row>
    <row r="287" spans="1:4" x14ac:dyDescent="0.25">
      <c r="A287">
        <v>2017</v>
      </c>
      <c r="B287">
        <v>12</v>
      </c>
      <c r="C287" t="s">
        <v>33</v>
      </c>
      <c r="D287">
        <v>903</v>
      </c>
    </row>
    <row r="288" spans="1:4" x14ac:dyDescent="0.25">
      <c r="A288">
        <v>2017</v>
      </c>
      <c r="B288">
        <v>12</v>
      </c>
      <c r="C288" t="s">
        <v>34</v>
      </c>
      <c r="D288">
        <v>144</v>
      </c>
    </row>
    <row r="289" spans="1:4" x14ac:dyDescent="0.25">
      <c r="A289">
        <v>2017</v>
      </c>
      <c r="B289">
        <v>12</v>
      </c>
      <c r="C289" t="s">
        <v>35</v>
      </c>
      <c r="D289">
        <v>934</v>
      </c>
    </row>
  </sheetData>
  <pageMargins left="0.7" right="0.7" top="0.75" bottom="0.75" header="0.3" footer="0.3"/>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CD283-BE8E-4CDC-8FF5-D6FC25E8D75E}">
  <dimension ref="A1:D15"/>
  <sheetViews>
    <sheetView workbookViewId="0">
      <selection activeCell="A2" sqref="A2:C15"/>
    </sheetView>
  </sheetViews>
  <sheetFormatPr defaultRowHeight="13.2" x14ac:dyDescent="0.25"/>
  <cols>
    <col min="1" max="1" width="7" bestFit="1" customWidth="1"/>
    <col min="2" max="2" width="19.77734375" bestFit="1" customWidth="1"/>
    <col min="3" max="3" width="20.33203125" bestFit="1" customWidth="1"/>
    <col min="4" max="4" width="23" bestFit="1" customWidth="1"/>
  </cols>
  <sheetData>
    <row r="1" spans="1:4" x14ac:dyDescent="0.25">
      <c r="A1" t="s">
        <v>9</v>
      </c>
      <c r="B1" t="s">
        <v>10</v>
      </c>
      <c r="C1" t="s">
        <v>19</v>
      </c>
      <c r="D1" t="s">
        <v>55</v>
      </c>
    </row>
    <row r="2" spans="1:4" x14ac:dyDescent="0.25">
      <c r="A2">
        <v>2016</v>
      </c>
      <c r="B2" t="s">
        <v>11</v>
      </c>
      <c r="C2">
        <v>565424</v>
      </c>
      <c r="D2" t="s">
        <v>56</v>
      </c>
    </row>
    <row r="3" spans="1:4" x14ac:dyDescent="0.25">
      <c r="A3">
        <v>2016</v>
      </c>
      <c r="B3" t="s">
        <v>12</v>
      </c>
      <c r="C3">
        <v>14676</v>
      </c>
      <c r="D3" t="s">
        <v>57</v>
      </c>
    </row>
    <row r="4" spans="1:4" x14ac:dyDescent="0.25">
      <c r="A4">
        <v>2016</v>
      </c>
      <c r="B4" t="s">
        <v>13</v>
      </c>
      <c r="C4">
        <v>1828</v>
      </c>
      <c r="D4" t="s">
        <v>58</v>
      </c>
    </row>
    <row r="5" spans="1:4" x14ac:dyDescent="0.25">
      <c r="A5">
        <v>2016</v>
      </c>
      <c r="B5" t="s">
        <v>14</v>
      </c>
      <c r="C5">
        <v>7304</v>
      </c>
      <c r="D5" t="s">
        <v>59</v>
      </c>
    </row>
    <row r="6" spans="1:4" x14ac:dyDescent="0.25">
      <c r="A6">
        <v>2016</v>
      </c>
      <c r="B6" t="s">
        <v>15</v>
      </c>
      <c r="C6">
        <v>1512</v>
      </c>
      <c r="D6" t="s">
        <v>59</v>
      </c>
    </row>
    <row r="7" spans="1:4" x14ac:dyDescent="0.25">
      <c r="A7">
        <v>2016</v>
      </c>
      <c r="B7" t="s">
        <v>16</v>
      </c>
      <c r="C7">
        <v>277336</v>
      </c>
      <c r="D7" t="s">
        <v>60</v>
      </c>
    </row>
    <row r="8" spans="1:4" x14ac:dyDescent="0.25">
      <c r="A8">
        <v>2017</v>
      </c>
      <c r="B8" t="s">
        <v>17</v>
      </c>
      <c r="C8">
        <v>4</v>
      </c>
      <c r="D8" t="s">
        <v>61</v>
      </c>
    </row>
    <row r="9" spans="1:4" x14ac:dyDescent="0.25">
      <c r="A9">
        <v>2017</v>
      </c>
      <c r="B9" t="s">
        <v>11</v>
      </c>
      <c r="C9">
        <v>711850</v>
      </c>
      <c r="D9" t="s">
        <v>62</v>
      </c>
    </row>
    <row r="10" spans="1:4" x14ac:dyDescent="0.25">
      <c r="A10">
        <v>2017</v>
      </c>
      <c r="B10" t="s">
        <v>12</v>
      </c>
      <c r="C10">
        <v>16633</v>
      </c>
      <c r="D10" t="s">
        <v>63</v>
      </c>
    </row>
    <row r="11" spans="1:4" x14ac:dyDescent="0.25">
      <c r="A11">
        <v>2017</v>
      </c>
      <c r="B11" t="s">
        <v>13</v>
      </c>
      <c r="C11">
        <v>195</v>
      </c>
      <c r="D11" t="s">
        <v>64</v>
      </c>
    </row>
    <row r="12" spans="1:4" x14ac:dyDescent="0.25">
      <c r="A12">
        <v>2017</v>
      </c>
      <c r="B12" t="s">
        <v>14</v>
      </c>
      <c r="C12">
        <v>10421</v>
      </c>
      <c r="D12" t="s">
        <v>65</v>
      </c>
    </row>
    <row r="13" spans="1:4" x14ac:dyDescent="0.25">
      <c r="A13">
        <v>2017</v>
      </c>
      <c r="B13" t="s">
        <v>15</v>
      </c>
      <c r="C13">
        <v>1251</v>
      </c>
      <c r="D13" t="s">
        <v>59</v>
      </c>
    </row>
    <row r="14" spans="1:4" x14ac:dyDescent="0.25">
      <c r="A14">
        <v>2017</v>
      </c>
      <c r="B14" t="s">
        <v>16</v>
      </c>
      <c r="C14">
        <v>305527</v>
      </c>
      <c r="D14" t="s">
        <v>66</v>
      </c>
    </row>
    <row r="15" spans="1:4" x14ac:dyDescent="0.25">
      <c r="A15">
        <v>2017</v>
      </c>
      <c r="B15" t="s">
        <v>18</v>
      </c>
      <c r="C15">
        <v>1</v>
      </c>
      <c r="D15" t="s">
        <v>67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22"/>
  <sheetViews>
    <sheetView topLeftCell="A12" workbookViewId="0">
      <selection activeCell="A5" sqref="A5:A18"/>
    </sheetView>
  </sheetViews>
  <sheetFormatPr defaultColWidth="14.44140625" defaultRowHeight="15.75" customHeight="1" x14ac:dyDescent="0.25"/>
  <cols>
    <col min="1" max="1" width="62.21875" bestFit="1" customWidth="1"/>
    <col min="2" max="2" width="64.5546875" customWidth="1"/>
    <col min="3" max="3" width="34.88671875" bestFit="1" customWidth="1"/>
    <col min="4" max="4" width="96" bestFit="1" customWidth="1"/>
  </cols>
  <sheetData>
    <row r="1" spans="1:3" ht="13.2" x14ac:dyDescent="0.25">
      <c r="A1" s="1" t="s">
        <v>1</v>
      </c>
    </row>
    <row r="2" spans="1:3" ht="13.2" x14ac:dyDescent="0.25">
      <c r="A2" s="3" t="s">
        <v>4</v>
      </c>
    </row>
    <row r="4" spans="1:3" ht="15.75" customHeight="1" x14ac:dyDescent="0.25">
      <c r="A4" s="18" t="s">
        <v>42</v>
      </c>
      <c r="B4" s="19" t="s">
        <v>43</v>
      </c>
      <c r="C4" s="18" t="s">
        <v>87</v>
      </c>
    </row>
    <row r="5" spans="1:3" ht="39" customHeight="1" x14ac:dyDescent="0.25">
      <c r="A5" s="20" t="s">
        <v>44</v>
      </c>
      <c r="B5" s="25" t="s">
        <v>83</v>
      </c>
      <c r="C5" s="25" t="s">
        <v>88</v>
      </c>
    </row>
    <row r="6" spans="1:3" ht="35.4" customHeight="1" x14ac:dyDescent="0.25">
      <c r="A6" s="20" t="s">
        <v>45</v>
      </c>
      <c r="B6" s="25" t="s">
        <v>84</v>
      </c>
      <c r="C6" s="25" t="s">
        <v>89</v>
      </c>
    </row>
    <row r="7" spans="1:3" ht="34.200000000000003" customHeight="1" x14ac:dyDescent="0.25">
      <c r="A7" s="20" t="s">
        <v>46</v>
      </c>
      <c r="B7" s="25" t="s">
        <v>84</v>
      </c>
      <c r="C7" s="25" t="s">
        <v>89</v>
      </c>
    </row>
    <row r="8" spans="1:3" ht="15.75" customHeight="1" x14ac:dyDescent="0.25">
      <c r="A8" s="20" t="s">
        <v>47</v>
      </c>
      <c r="B8" s="25" t="s">
        <v>85</v>
      </c>
      <c r="C8" s="25" t="s">
        <v>88</v>
      </c>
    </row>
    <row r="9" spans="1:3" ht="15.75" customHeight="1" x14ac:dyDescent="0.25">
      <c r="A9" s="20" t="s">
        <v>50</v>
      </c>
      <c r="B9" s="26" t="s">
        <v>86</v>
      </c>
      <c r="C9" s="25" t="s">
        <v>88</v>
      </c>
    </row>
    <row r="10" spans="1:3" ht="41.4" customHeight="1" x14ac:dyDescent="0.25">
      <c r="A10" s="20" t="s">
        <v>22</v>
      </c>
      <c r="B10" s="25" t="s">
        <v>90</v>
      </c>
      <c r="C10" s="25" t="s">
        <v>88</v>
      </c>
    </row>
    <row r="11" spans="1:3" ht="15.75" customHeight="1" x14ac:dyDescent="0.25">
      <c r="A11" s="20" t="s">
        <v>10</v>
      </c>
      <c r="B11" s="25" t="s">
        <v>91</v>
      </c>
      <c r="C11" s="25" t="s">
        <v>88</v>
      </c>
    </row>
    <row r="12" spans="1:3" ht="15.75" customHeight="1" x14ac:dyDescent="0.25">
      <c r="A12" s="20" t="s">
        <v>49</v>
      </c>
      <c r="B12" s="25" t="s">
        <v>92</v>
      </c>
      <c r="C12" s="25" t="s">
        <v>88</v>
      </c>
    </row>
    <row r="13" spans="1:3" ht="15.75" customHeight="1" x14ac:dyDescent="0.25">
      <c r="A13" s="20" t="s">
        <v>51</v>
      </c>
      <c r="B13" s="26" t="s">
        <v>93</v>
      </c>
      <c r="C13" s="25" t="s">
        <v>88</v>
      </c>
    </row>
    <row r="14" spans="1:3" ht="15.75" customHeight="1" x14ac:dyDescent="0.25">
      <c r="A14" s="20" t="s">
        <v>48</v>
      </c>
      <c r="B14" s="25" t="s">
        <v>94</v>
      </c>
      <c r="C14" s="25" t="s">
        <v>88</v>
      </c>
    </row>
    <row r="15" spans="1:3" ht="15.75" customHeight="1" x14ac:dyDescent="0.25">
      <c r="A15" s="20" t="s">
        <v>52</v>
      </c>
      <c r="B15" s="25" t="s">
        <v>95</v>
      </c>
      <c r="C15" s="25" t="s">
        <v>88</v>
      </c>
    </row>
    <row r="16" spans="1:3" ht="15.75" customHeight="1" x14ac:dyDescent="0.25">
      <c r="A16" s="20" t="s">
        <v>53</v>
      </c>
      <c r="B16" s="25" t="s">
        <v>96</v>
      </c>
      <c r="C16" s="25" t="s">
        <v>88</v>
      </c>
    </row>
    <row r="17" spans="1:3" ht="15.75" customHeight="1" x14ac:dyDescent="0.25">
      <c r="A17" s="20" t="s">
        <v>54</v>
      </c>
      <c r="B17" s="25" t="s">
        <v>97</v>
      </c>
      <c r="C17" s="25" t="s">
        <v>88</v>
      </c>
    </row>
    <row r="18" spans="1:3" ht="15.75" customHeight="1" x14ac:dyDescent="0.25">
      <c r="A18" s="20" t="s">
        <v>98</v>
      </c>
      <c r="B18" s="25" t="s">
        <v>99</v>
      </c>
      <c r="C18" s="25" t="s">
        <v>88</v>
      </c>
    </row>
    <row r="21" spans="1:3" ht="15.75" customHeight="1" x14ac:dyDescent="0.25">
      <c r="A21" s="18" t="s">
        <v>82</v>
      </c>
    </row>
    <row r="22" spans="1:3" ht="15.75" customHeight="1" x14ac:dyDescent="0.25">
      <c r="A22" s="20" t="s">
        <v>55</v>
      </c>
      <c r="B22" s="25" t="s">
        <v>100</v>
      </c>
      <c r="C22" s="25" t="s">
        <v>101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87"/>
  <sheetViews>
    <sheetView workbookViewId="0">
      <selection activeCell="G29" sqref="G29"/>
    </sheetView>
  </sheetViews>
  <sheetFormatPr defaultColWidth="14.44140625" defaultRowHeight="15.75" customHeight="1" x14ac:dyDescent="0.25"/>
  <cols>
    <col min="1" max="1" width="13.33203125" style="6" bestFit="1" customWidth="1"/>
    <col min="2" max="2" width="29.33203125" style="6" bestFit="1" customWidth="1"/>
    <col min="3" max="3" width="20.88671875" style="6" bestFit="1" customWidth="1"/>
    <col min="4" max="6" width="14.44140625" style="6"/>
    <col min="7" max="7" width="18.109375" style="6" bestFit="1" customWidth="1"/>
    <col min="8" max="8" width="20.88671875" style="6" bestFit="1" customWidth="1"/>
    <col min="9" max="16384" width="14.44140625" style="6"/>
  </cols>
  <sheetData>
    <row r="1" spans="1:4" ht="13.2" x14ac:dyDescent="0.25">
      <c r="A1" s="5" t="s">
        <v>7</v>
      </c>
    </row>
    <row r="2" spans="1:4" ht="13.2" x14ac:dyDescent="0.25">
      <c r="A2" s="12" t="s">
        <v>8</v>
      </c>
    </row>
    <row r="4" spans="1:4" ht="15.75" customHeight="1" x14ac:dyDescent="0.25">
      <c r="A4" s="9"/>
      <c r="C4" s="13"/>
    </row>
    <row r="5" spans="1:4" ht="15.75" customHeight="1" x14ac:dyDescent="0.25">
      <c r="A5" s="9" t="s">
        <v>72</v>
      </c>
      <c r="C5" s="13"/>
    </row>
    <row r="6" spans="1:4" ht="15.75" customHeight="1" x14ac:dyDescent="0.25">
      <c r="A6" t="s">
        <v>9</v>
      </c>
      <c r="B6" t="s">
        <v>10</v>
      </c>
      <c r="C6" s="8" t="s">
        <v>19</v>
      </c>
      <c r="D6" s="8" t="s">
        <v>20</v>
      </c>
    </row>
    <row r="7" spans="1:4" ht="15.75" customHeight="1" x14ac:dyDescent="0.25">
      <c r="A7">
        <v>2016</v>
      </c>
      <c r="B7" t="s">
        <v>11</v>
      </c>
      <c r="C7">
        <v>565424</v>
      </c>
      <c r="D7">
        <v>3</v>
      </c>
    </row>
    <row r="8" spans="1:4" ht="15.75" customHeight="1" x14ac:dyDescent="0.25">
      <c r="A8">
        <v>2016</v>
      </c>
      <c r="B8" t="s">
        <v>12</v>
      </c>
      <c r="C8">
        <v>14676</v>
      </c>
      <c r="D8">
        <v>16</v>
      </c>
    </row>
    <row r="9" spans="1:4" ht="15.75" customHeight="1" x14ac:dyDescent="0.25">
      <c r="A9">
        <v>2016</v>
      </c>
      <c r="B9" t="s">
        <v>13</v>
      </c>
      <c r="C9">
        <v>1828</v>
      </c>
      <c r="D9">
        <v>84</v>
      </c>
    </row>
    <row r="10" spans="1:4" ht="15.75" customHeight="1" x14ac:dyDescent="0.25">
      <c r="A10">
        <v>2016</v>
      </c>
      <c r="B10" t="s">
        <v>14</v>
      </c>
      <c r="C10">
        <v>7304</v>
      </c>
      <c r="D10">
        <v>0</v>
      </c>
    </row>
    <row r="11" spans="1:4" ht="15.75" customHeight="1" x14ac:dyDescent="0.25">
      <c r="A11">
        <v>2016</v>
      </c>
      <c r="B11" t="s">
        <v>15</v>
      </c>
      <c r="C11">
        <v>1512</v>
      </c>
      <c r="D11">
        <v>0</v>
      </c>
    </row>
    <row r="12" spans="1:4" ht="15.75" customHeight="1" x14ac:dyDescent="0.25">
      <c r="A12">
        <v>2016</v>
      </c>
      <c r="B12" t="s">
        <v>16</v>
      </c>
      <c r="C12">
        <v>277336</v>
      </c>
      <c r="D12">
        <v>3</v>
      </c>
    </row>
    <row r="13" spans="1:4" ht="15.75" customHeight="1" x14ac:dyDescent="0.25">
      <c r="A13">
        <v>2017</v>
      </c>
      <c r="B13" t="s">
        <v>17</v>
      </c>
      <c r="C13">
        <v>4</v>
      </c>
      <c r="D13">
        <v>2</v>
      </c>
    </row>
    <row r="14" spans="1:4" ht="15.75" customHeight="1" x14ac:dyDescent="0.25">
      <c r="A14">
        <v>2017</v>
      </c>
      <c r="B14" t="s">
        <v>11</v>
      </c>
      <c r="C14">
        <v>711850</v>
      </c>
      <c r="D14">
        <v>4</v>
      </c>
    </row>
    <row r="15" spans="1:4" ht="15.75" customHeight="1" x14ac:dyDescent="0.25">
      <c r="A15">
        <v>2017</v>
      </c>
      <c r="B15" t="s">
        <v>12</v>
      </c>
      <c r="C15">
        <v>16633</v>
      </c>
      <c r="D15">
        <v>24</v>
      </c>
    </row>
    <row r="16" spans="1:4" ht="15.75" customHeight="1" x14ac:dyDescent="0.25">
      <c r="A16">
        <v>2017</v>
      </c>
      <c r="B16" t="s">
        <v>13</v>
      </c>
      <c r="C16">
        <v>195</v>
      </c>
      <c r="D16">
        <v>269</v>
      </c>
    </row>
    <row r="17" spans="1:8" ht="15.75" customHeight="1" x14ac:dyDescent="0.25">
      <c r="A17">
        <v>2017</v>
      </c>
      <c r="B17" t="s">
        <v>14</v>
      </c>
      <c r="C17">
        <v>10421</v>
      </c>
      <c r="D17">
        <v>0</v>
      </c>
    </row>
    <row r="18" spans="1:8" ht="15.75" customHeight="1" x14ac:dyDescent="0.25">
      <c r="A18">
        <v>2017</v>
      </c>
      <c r="B18" t="s">
        <v>15</v>
      </c>
      <c r="C18">
        <v>1251</v>
      </c>
      <c r="D18">
        <v>0</v>
      </c>
    </row>
    <row r="19" spans="1:8" ht="15.75" customHeight="1" x14ac:dyDescent="0.25">
      <c r="A19">
        <v>2017</v>
      </c>
      <c r="B19" t="s">
        <v>16</v>
      </c>
      <c r="C19">
        <v>305527</v>
      </c>
      <c r="D19">
        <v>2</v>
      </c>
    </row>
    <row r="20" spans="1:8" ht="15.75" customHeight="1" x14ac:dyDescent="0.25">
      <c r="A20">
        <v>2017</v>
      </c>
      <c r="B20" t="s">
        <v>18</v>
      </c>
      <c r="C20">
        <v>1</v>
      </c>
      <c r="D20">
        <v>25</v>
      </c>
    </row>
    <row r="28" spans="1:8" ht="15.75" customHeight="1" x14ac:dyDescent="0.25">
      <c r="G28" s="9" t="s">
        <v>81</v>
      </c>
    </row>
    <row r="29" spans="1:8" ht="15.75" customHeight="1" x14ac:dyDescent="0.25">
      <c r="A29" s="6" t="s">
        <v>71</v>
      </c>
      <c r="G29" s="23" t="s">
        <v>19</v>
      </c>
      <c r="H29" s="23" t="s">
        <v>55</v>
      </c>
    </row>
    <row r="30" spans="1:8" ht="15.75" customHeight="1" x14ac:dyDescent="0.25">
      <c r="A30" t="s">
        <v>9</v>
      </c>
      <c r="B30" t="s">
        <v>19</v>
      </c>
      <c r="C30" t="s">
        <v>55</v>
      </c>
      <c r="E30" s="22" t="s">
        <v>75</v>
      </c>
      <c r="G30" s="24">
        <v>1913962</v>
      </c>
      <c r="H30" s="24" t="s">
        <v>76</v>
      </c>
    </row>
    <row r="31" spans="1:8" ht="15.75" customHeight="1" x14ac:dyDescent="0.25">
      <c r="A31">
        <v>2016</v>
      </c>
      <c r="B31">
        <v>868080</v>
      </c>
      <c r="C31" t="s">
        <v>69</v>
      </c>
      <c r="E31" s="21">
        <f>(B32-Total_number_of_cases_in_2016_2017_and_their_average_MTTR7[[#This Row],[no_cases_per_year]])/B32</f>
        <v>0.17000196962946107</v>
      </c>
    </row>
    <row r="32" spans="1:8" ht="15.75" customHeight="1" x14ac:dyDescent="0.25">
      <c r="A32">
        <v>2017</v>
      </c>
      <c r="B32">
        <v>1045882</v>
      </c>
      <c r="C32" t="s">
        <v>70</v>
      </c>
    </row>
    <row r="33" spans="1:3" ht="15.75" customHeight="1" x14ac:dyDescent="0.25">
      <c r="B33" s="6">
        <f>B32-B31</f>
        <v>177802</v>
      </c>
    </row>
    <row r="37" spans="1:3" ht="15.75" customHeight="1" x14ac:dyDescent="0.25">
      <c r="A37" s="8" t="s">
        <v>41</v>
      </c>
      <c r="B37"/>
    </row>
    <row r="38" spans="1:3" ht="15.75" customHeight="1" x14ac:dyDescent="0.25">
      <c r="A38" s="15" t="s">
        <v>37</v>
      </c>
      <c r="B38" t="s">
        <v>36</v>
      </c>
    </row>
    <row r="39" spans="1:3" ht="15.75" customHeight="1" x14ac:dyDescent="0.25">
      <c r="A39" s="16">
        <v>2016</v>
      </c>
      <c r="B39">
        <v>6730.6597222222226</v>
      </c>
    </row>
    <row r="40" spans="1:3" ht="15.75" customHeight="1" x14ac:dyDescent="0.25">
      <c r="A40" s="16">
        <v>2017</v>
      </c>
      <c r="B40">
        <v>8123.9027777777774</v>
      </c>
    </row>
    <row r="41" spans="1:3" ht="15.75" customHeight="1" x14ac:dyDescent="0.25">
      <c r="A41" s="16" t="s">
        <v>38</v>
      </c>
      <c r="B41">
        <v>7427.28125</v>
      </c>
    </row>
    <row r="44" spans="1:3" ht="15.75" customHeight="1" x14ac:dyDescent="0.25">
      <c r="A44" s="8" t="s">
        <v>78</v>
      </c>
    </row>
    <row r="45" spans="1:3" ht="15.75" customHeight="1" x14ac:dyDescent="0.25">
      <c r="A45" t="s">
        <v>9</v>
      </c>
      <c r="B45" t="s">
        <v>10</v>
      </c>
      <c r="C45" t="s">
        <v>68</v>
      </c>
    </row>
    <row r="46" spans="1:3" ht="15.75" customHeight="1" x14ac:dyDescent="0.25">
      <c r="A46">
        <v>2016</v>
      </c>
      <c r="B46" t="s">
        <v>11</v>
      </c>
      <c r="C46">
        <v>3</v>
      </c>
    </row>
    <row r="47" spans="1:3" ht="15.75" customHeight="1" x14ac:dyDescent="0.25">
      <c r="A47">
        <v>2016</v>
      </c>
      <c r="B47" t="s">
        <v>12</v>
      </c>
      <c r="C47">
        <v>16</v>
      </c>
    </row>
    <row r="48" spans="1:3" ht="15.75" customHeight="1" x14ac:dyDescent="0.25">
      <c r="A48">
        <v>2016</v>
      </c>
      <c r="B48" t="s">
        <v>13</v>
      </c>
      <c r="C48">
        <v>84</v>
      </c>
    </row>
    <row r="49" spans="1:3" ht="15.75" customHeight="1" x14ac:dyDescent="0.25">
      <c r="A49">
        <v>2016</v>
      </c>
      <c r="B49" t="s">
        <v>14</v>
      </c>
      <c r="C49">
        <v>0</v>
      </c>
    </row>
    <row r="50" spans="1:3" ht="15.75" customHeight="1" x14ac:dyDescent="0.25">
      <c r="A50">
        <v>2016</v>
      </c>
      <c r="B50" t="s">
        <v>15</v>
      </c>
      <c r="C50">
        <v>0</v>
      </c>
    </row>
    <row r="51" spans="1:3" ht="15.75" customHeight="1" x14ac:dyDescent="0.25">
      <c r="A51">
        <v>2016</v>
      </c>
      <c r="B51" t="s">
        <v>16</v>
      </c>
      <c r="C51">
        <v>3</v>
      </c>
    </row>
    <row r="52" spans="1:3" ht="15.75" customHeight="1" x14ac:dyDescent="0.25">
      <c r="A52">
        <v>2017</v>
      </c>
      <c r="B52" t="s">
        <v>17</v>
      </c>
      <c r="C52">
        <v>2</v>
      </c>
    </row>
    <row r="53" spans="1:3" ht="15.75" customHeight="1" x14ac:dyDescent="0.25">
      <c r="A53">
        <v>2017</v>
      </c>
      <c r="B53" t="s">
        <v>11</v>
      </c>
      <c r="C53">
        <v>4</v>
      </c>
    </row>
    <row r="54" spans="1:3" ht="15.75" customHeight="1" x14ac:dyDescent="0.25">
      <c r="A54">
        <v>2017</v>
      </c>
      <c r="B54" t="s">
        <v>12</v>
      </c>
      <c r="C54">
        <v>24</v>
      </c>
    </row>
    <row r="55" spans="1:3" ht="15.75" customHeight="1" x14ac:dyDescent="0.25">
      <c r="A55">
        <v>2017</v>
      </c>
      <c r="B55" t="s">
        <v>13</v>
      </c>
      <c r="C55">
        <v>269</v>
      </c>
    </row>
    <row r="56" spans="1:3" ht="15.75" customHeight="1" x14ac:dyDescent="0.25">
      <c r="A56">
        <v>2017</v>
      </c>
      <c r="B56" t="s">
        <v>14</v>
      </c>
      <c r="C56">
        <v>0</v>
      </c>
    </row>
    <row r="57" spans="1:3" ht="15.75" customHeight="1" x14ac:dyDescent="0.25">
      <c r="A57">
        <v>2017</v>
      </c>
      <c r="B57" t="s">
        <v>15</v>
      </c>
      <c r="C57">
        <v>0</v>
      </c>
    </row>
    <row r="58" spans="1:3" ht="15.75" customHeight="1" x14ac:dyDescent="0.25">
      <c r="A58">
        <v>2017</v>
      </c>
      <c r="B58" t="s">
        <v>16</v>
      </c>
      <c r="C58">
        <v>2</v>
      </c>
    </row>
    <row r="59" spans="1:3" ht="15.75" customHeight="1" x14ac:dyDescent="0.25">
      <c r="A59">
        <v>2017</v>
      </c>
      <c r="B59" t="s">
        <v>18</v>
      </c>
      <c r="C59">
        <v>25</v>
      </c>
    </row>
    <row r="63" spans="1:3" ht="15.75" customHeight="1" x14ac:dyDescent="0.25">
      <c r="A63" t="s">
        <v>9</v>
      </c>
      <c r="B63" t="s">
        <v>22</v>
      </c>
      <c r="C63" s="8" t="s">
        <v>68</v>
      </c>
    </row>
    <row r="64" spans="1:3" ht="15.75" customHeight="1" x14ac:dyDescent="0.25">
      <c r="A64">
        <v>2016</v>
      </c>
      <c r="B64" t="s">
        <v>24</v>
      </c>
      <c r="C64">
        <v>3</v>
      </c>
    </row>
    <row r="65" spans="1:3" ht="15.75" customHeight="1" x14ac:dyDescent="0.25">
      <c r="A65">
        <v>2016</v>
      </c>
      <c r="B65" t="s">
        <v>25</v>
      </c>
      <c r="C65">
        <v>0</v>
      </c>
    </row>
    <row r="66" spans="1:3" ht="15.75" customHeight="1" x14ac:dyDescent="0.25">
      <c r="A66">
        <v>2016</v>
      </c>
      <c r="B66" t="s">
        <v>26</v>
      </c>
      <c r="C66">
        <v>3</v>
      </c>
    </row>
    <row r="67" spans="1:3" ht="15.75" customHeight="1" x14ac:dyDescent="0.25">
      <c r="A67">
        <v>2016</v>
      </c>
      <c r="B67" t="s">
        <v>27</v>
      </c>
      <c r="C67">
        <v>107</v>
      </c>
    </row>
    <row r="68" spans="1:3" ht="15.75" customHeight="1" x14ac:dyDescent="0.25">
      <c r="A68">
        <v>2016</v>
      </c>
      <c r="B68" t="s">
        <v>28</v>
      </c>
      <c r="C68">
        <v>3</v>
      </c>
    </row>
    <row r="69" spans="1:3" ht="15.75" customHeight="1" x14ac:dyDescent="0.25">
      <c r="A69">
        <v>2016</v>
      </c>
      <c r="B69" t="s">
        <v>29</v>
      </c>
      <c r="C69">
        <v>33</v>
      </c>
    </row>
    <row r="70" spans="1:3" ht="15.75" customHeight="1" x14ac:dyDescent="0.25">
      <c r="A70">
        <v>2016</v>
      </c>
      <c r="B70" t="s">
        <v>30</v>
      </c>
      <c r="C70">
        <v>6</v>
      </c>
    </row>
    <row r="71" spans="1:3" ht="15.75" customHeight="1" x14ac:dyDescent="0.25">
      <c r="A71">
        <v>2016</v>
      </c>
      <c r="B71" t="s">
        <v>31</v>
      </c>
      <c r="C71">
        <v>3</v>
      </c>
    </row>
    <row r="72" spans="1:3" ht="15.75" customHeight="1" x14ac:dyDescent="0.25">
      <c r="A72">
        <v>2016</v>
      </c>
      <c r="B72" t="s">
        <v>32</v>
      </c>
      <c r="C72">
        <v>30</v>
      </c>
    </row>
    <row r="73" spans="1:3" ht="15.75" customHeight="1" x14ac:dyDescent="0.25">
      <c r="A73">
        <v>2016</v>
      </c>
      <c r="B73" t="s">
        <v>33</v>
      </c>
      <c r="C73">
        <v>14</v>
      </c>
    </row>
    <row r="74" spans="1:3" ht="15.75" customHeight="1" x14ac:dyDescent="0.25">
      <c r="A74">
        <v>2016</v>
      </c>
      <c r="B74" t="s">
        <v>34</v>
      </c>
      <c r="C74">
        <v>0</v>
      </c>
    </row>
    <row r="75" spans="1:3" ht="15.75" customHeight="1" x14ac:dyDescent="0.25">
      <c r="A75">
        <v>2016</v>
      </c>
      <c r="B75" t="s">
        <v>35</v>
      </c>
      <c r="C75">
        <v>11</v>
      </c>
    </row>
    <row r="76" spans="1:3" ht="15.75" customHeight="1" x14ac:dyDescent="0.25">
      <c r="A76">
        <v>2017</v>
      </c>
      <c r="B76" t="s">
        <v>24</v>
      </c>
      <c r="C76">
        <v>3</v>
      </c>
    </row>
    <row r="77" spans="1:3" ht="15.75" customHeight="1" x14ac:dyDescent="0.25">
      <c r="A77">
        <v>2017</v>
      </c>
      <c r="B77" t="s">
        <v>25</v>
      </c>
      <c r="C77">
        <v>0</v>
      </c>
    </row>
    <row r="78" spans="1:3" ht="15.75" customHeight="1" x14ac:dyDescent="0.25">
      <c r="A78">
        <v>2017</v>
      </c>
      <c r="B78" t="s">
        <v>26</v>
      </c>
      <c r="C78">
        <v>2</v>
      </c>
    </row>
    <row r="79" spans="1:3" ht="15.75" customHeight="1" x14ac:dyDescent="0.25">
      <c r="A79">
        <v>2017</v>
      </c>
      <c r="B79" t="s">
        <v>27</v>
      </c>
      <c r="C79">
        <v>100</v>
      </c>
    </row>
    <row r="80" spans="1:3" ht="15.75" customHeight="1" x14ac:dyDescent="0.25">
      <c r="A80">
        <v>2017</v>
      </c>
      <c r="B80" t="s">
        <v>28</v>
      </c>
      <c r="C80">
        <v>2</v>
      </c>
    </row>
    <row r="81" spans="1:3" ht="15.75" customHeight="1" x14ac:dyDescent="0.25">
      <c r="A81">
        <v>2017</v>
      </c>
      <c r="B81" t="s">
        <v>29</v>
      </c>
      <c r="C81">
        <v>46</v>
      </c>
    </row>
    <row r="82" spans="1:3" ht="15.75" customHeight="1" x14ac:dyDescent="0.25">
      <c r="A82">
        <v>2017</v>
      </c>
      <c r="B82" t="s">
        <v>30</v>
      </c>
      <c r="C82">
        <v>7</v>
      </c>
    </row>
    <row r="83" spans="1:3" ht="15.75" customHeight="1" x14ac:dyDescent="0.25">
      <c r="A83">
        <v>2017</v>
      </c>
      <c r="B83" t="s">
        <v>31</v>
      </c>
      <c r="C83">
        <v>3</v>
      </c>
    </row>
    <row r="84" spans="1:3" ht="15.75" customHeight="1" x14ac:dyDescent="0.25">
      <c r="A84">
        <v>2017</v>
      </c>
      <c r="B84" t="s">
        <v>32</v>
      </c>
      <c r="C84">
        <v>49</v>
      </c>
    </row>
    <row r="85" spans="1:3" ht="15.75" customHeight="1" x14ac:dyDescent="0.25">
      <c r="A85">
        <v>2017</v>
      </c>
      <c r="B85" t="s">
        <v>33</v>
      </c>
      <c r="C85">
        <v>3</v>
      </c>
    </row>
    <row r="86" spans="1:3" ht="15.75" customHeight="1" x14ac:dyDescent="0.25">
      <c r="A86">
        <v>2017</v>
      </c>
      <c r="B86" t="s">
        <v>34</v>
      </c>
      <c r="C86">
        <v>0</v>
      </c>
    </row>
    <row r="87" spans="1:3" ht="15.75" customHeight="1" x14ac:dyDescent="0.25">
      <c r="A87">
        <v>2017</v>
      </c>
      <c r="B87" t="s">
        <v>35</v>
      </c>
      <c r="C87">
        <v>13</v>
      </c>
    </row>
  </sheetData>
  <pageMargins left="0.7" right="0.7" top="0.75" bottom="0.75" header="0.3" footer="0.3"/>
  <drawing r:id="rId2"/>
  <tableParts count="4">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DB530-7D72-48C0-BCD1-327D9E125953}">
  <dimension ref="A1:C3"/>
  <sheetViews>
    <sheetView workbookViewId="0">
      <selection sqref="A1:C3"/>
    </sheetView>
  </sheetViews>
  <sheetFormatPr defaultRowHeight="13.2" x14ac:dyDescent="0.25"/>
  <cols>
    <col min="1" max="1" width="7" bestFit="1" customWidth="1"/>
    <col min="2" max="2" width="20.33203125" bestFit="1" customWidth="1"/>
    <col min="3" max="3" width="20.88671875" bestFit="1" customWidth="1"/>
  </cols>
  <sheetData>
    <row r="1" spans="1:3" x14ac:dyDescent="0.25">
      <c r="A1" t="s">
        <v>9</v>
      </c>
      <c r="B1" t="s">
        <v>19</v>
      </c>
      <c r="C1" t="s">
        <v>55</v>
      </c>
    </row>
    <row r="2" spans="1:3" x14ac:dyDescent="0.25">
      <c r="A2">
        <v>2016</v>
      </c>
      <c r="B2">
        <v>868080</v>
      </c>
      <c r="C2" t="s">
        <v>69</v>
      </c>
    </row>
    <row r="3" spans="1:3" x14ac:dyDescent="0.25">
      <c r="A3">
        <v>2017</v>
      </c>
      <c r="B3">
        <v>1045882</v>
      </c>
      <c r="C3" t="s">
        <v>70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25B0-F9D3-40BB-A906-B48A244AAB66}">
  <dimension ref="A1:C25"/>
  <sheetViews>
    <sheetView workbookViewId="0">
      <selection sqref="A1:C25"/>
    </sheetView>
  </sheetViews>
  <sheetFormatPr defaultRowHeight="13.2" x14ac:dyDescent="0.25"/>
  <cols>
    <col min="1" max="1" width="7" bestFit="1" customWidth="1"/>
    <col min="2" max="2" width="24" bestFit="1" customWidth="1"/>
    <col min="3" max="3" width="23" bestFit="1" customWidth="1"/>
  </cols>
  <sheetData>
    <row r="1" spans="1:3" x14ac:dyDescent="0.25">
      <c r="A1" t="s">
        <v>9</v>
      </c>
      <c r="B1" t="s">
        <v>22</v>
      </c>
      <c r="C1" s="8" t="s">
        <v>68</v>
      </c>
    </row>
    <row r="2" spans="1:3" x14ac:dyDescent="0.25">
      <c r="A2">
        <v>2016</v>
      </c>
      <c r="B2" t="s">
        <v>24</v>
      </c>
      <c r="C2">
        <v>3</v>
      </c>
    </row>
    <row r="3" spans="1:3" x14ac:dyDescent="0.25">
      <c r="A3">
        <v>2016</v>
      </c>
      <c r="B3" t="s">
        <v>25</v>
      </c>
      <c r="C3">
        <v>0</v>
      </c>
    </row>
    <row r="4" spans="1:3" x14ac:dyDescent="0.25">
      <c r="A4">
        <v>2016</v>
      </c>
      <c r="B4" t="s">
        <v>26</v>
      </c>
      <c r="C4">
        <v>3</v>
      </c>
    </row>
    <row r="5" spans="1:3" x14ac:dyDescent="0.25">
      <c r="A5">
        <v>2016</v>
      </c>
      <c r="B5" t="s">
        <v>27</v>
      </c>
      <c r="C5">
        <v>107</v>
      </c>
    </row>
    <row r="6" spans="1:3" x14ac:dyDescent="0.25">
      <c r="A6">
        <v>2016</v>
      </c>
      <c r="B6" t="s">
        <v>28</v>
      </c>
      <c r="C6">
        <v>3</v>
      </c>
    </row>
    <row r="7" spans="1:3" x14ac:dyDescent="0.25">
      <c r="A7">
        <v>2016</v>
      </c>
      <c r="B7" t="s">
        <v>29</v>
      </c>
      <c r="C7">
        <v>33</v>
      </c>
    </row>
    <row r="8" spans="1:3" x14ac:dyDescent="0.25">
      <c r="A8">
        <v>2016</v>
      </c>
      <c r="B8" t="s">
        <v>30</v>
      </c>
      <c r="C8">
        <v>6</v>
      </c>
    </row>
    <row r="9" spans="1:3" x14ac:dyDescent="0.25">
      <c r="A9">
        <v>2016</v>
      </c>
      <c r="B9" t="s">
        <v>31</v>
      </c>
      <c r="C9">
        <v>3</v>
      </c>
    </row>
    <row r="10" spans="1:3" x14ac:dyDescent="0.25">
      <c r="A10">
        <v>2016</v>
      </c>
      <c r="B10" t="s">
        <v>32</v>
      </c>
      <c r="C10">
        <v>30</v>
      </c>
    </row>
    <row r="11" spans="1:3" x14ac:dyDescent="0.25">
      <c r="A11">
        <v>2016</v>
      </c>
      <c r="B11" t="s">
        <v>33</v>
      </c>
      <c r="C11">
        <v>14</v>
      </c>
    </row>
    <row r="12" spans="1:3" x14ac:dyDescent="0.25">
      <c r="A12">
        <v>2016</v>
      </c>
      <c r="B12" t="s">
        <v>34</v>
      </c>
      <c r="C12">
        <v>0</v>
      </c>
    </row>
    <row r="13" spans="1:3" x14ac:dyDescent="0.25">
      <c r="A13">
        <v>2016</v>
      </c>
      <c r="B13" t="s">
        <v>35</v>
      </c>
      <c r="C13">
        <v>11</v>
      </c>
    </row>
    <row r="14" spans="1:3" x14ac:dyDescent="0.25">
      <c r="A14">
        <v>2017</v>
      </c>
      <c r="B14" t="s">
        <v>24</v>
      </c>
      <c r="C14">
        <v>3</v>
      </c>
    </row>
    <row r="15" spans="1:3" x14ac:dyDescent="0.25">
      <c r="A15">
        <v>2017</v>
      </c>
      <c r="B15" t="s">
        <v>25</v>
      </c>
      <c r="C15">
        <v>0</v>
      </c>
    </row>
    <row r="16" spans="1:3" x14ac:dyDescent="0.25">
      <c r="A16">
        <v>2017</v>
      </c>
      <c r="B16" t="s">
        <v>26</v>
      </c>
      <c r="C16">
        <v>2</v>
      </c>
    </row>
    <row r="17" spans="1:3" x14ac:dyDescent="0.25">
      <c r="A17">
        <v>2017</v>
      </c>
      <c r="B17" t="s">
        <v>27</v>
      </c>
      <c r="C17">
        <v>100</v>
      </c>
    </row>
    <row r="18" spans="1:3" x14ac:dyDescent="0.25">
      <c r="A18">
        <v>2017</v>
      </c>
      <c r="B18" t="s">
        <v>28</v>
      </c>
      <c r="C18">
        <v>2</v>
      </c>
    </row>
    <row r="19" spans="1:3" x14ac:dyDescent="0.25">
      <c r="A19">
        <v>2017</v>
      </c>
      <c r="B19" t="s">
        <v>29</v>
      </c>
      <c r="C19">
        <v>46</v>
      </c>
    </row>
    <row r="20" spans="1:3" x14ac:dyDescent="0.25">
      <c r="A20">
        <v>2017</v>
      </c>
      <c r="B20" t="s">
        <v>30</v>
      </c>
      <c r="C20">
        <v>7</v>
      </c>
    </row>
    <row r="21" spans="1:3" x14ac:dyDescent="0.25">
      <c r="A21">
        <v>2017</v>
      </c>
      <c r="B21" t="s">
        <v>31</v>
      </c>
      <c r="C21">
        <v>3</v>
      </c>
    </row>
    <row r="22" spans="1:3" x14ac:dyDescent="0.25">
      <c r="A22">
        <v>2017</v>
      </c>
      <c r="B22" t="s">
        <v>32</v>
      </c>
      <c r="C22">
        <v>49</v>
      </c>
    </row>
    <row r="23" spans="1:3" x14ac:dyDescent="0.25">
      <c r="A23">
        <v>2017</v>
      </c>
      <c r="B23" t="s">
        <v>33</v>
      </c>
      <c r="C23">
        <v>3</v>
      </c>
    </row>
    <row r="24" spans="1:3" x14ac:dyDescent="0.25">
      <c r="A24">
        <v>2017</v>
      </c>
      <c r="B24" t="s">
        <v>34</v>
      </c>
      <c r="C24">
        <v>0</v>
      </c>
    </row>
    <row r="25" spans="1:3" x14ac:dyDescent="0.25">
      <c r="A25">
        <v>2017</v>
      </c>
      <c r="B25" t="s">
        <v>35</v>
      </c>
      <c r="C25">
        <v>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A78BEE-F507-4E96-86BF-65D4C84356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 Handling Summary</vt:lpstr>
      <vt:lpstr>Sheet2</vt:lpstr>
      <vt:lpstr>Analysis &amp; Charts</vt:lpstr>
      <vt:lpstr>PR2-per year-month-requesttype</vt:lpstr>
      <vt:lpstr>PR1 - per year-month-committee-</vt:lpstr>
      <vt:lpstr>Data Dictionary</vt:lpstr>
      <vt:lpstr>Reference</vt:lpstr>
      <vt:lpstr>Total number of cases in 2016-2</vt:lpstr>
      <vt:lpstr>PR3- per year for each request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Ammar Abdulla Ahmed Mohamed Ahmed Alhay</cp:lastModifiedBy>
  <dcterms:modified xsi:type="dcterms:W3CDTF">2025-09-28T11:23:06Z</dcterms:modified>
</cp:coreProperties>
</file>